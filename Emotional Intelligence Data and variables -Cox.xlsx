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elenarolle\Documents\Analysis Project_COX\"/>
    </mc:Choice>
  </mc:AlternateContent>
  <bookViews>
    <workbookView xWindow="0" yWindow="0" windowWidth="17256" windowHeight="8856" firstSheet="11" activeTab="15"/>
  </bookViews>
  <sheets>
    <sheet name="Variables" sheetId="1" r:id="rId1"/>
    <sheet name="Data View" sheetId="3" r:id="rId2"/>
    <sheet name="Emot_Satis_Tallies Plots" sheetId="5" r:id="rId3"/>
    <sheet name="Overall Satisf_Desc Stats" sheetId="4" r:id="rId4"/>
    <sheet name="Age vs Overall SatisXX" sheetId="7" r:id="rId5"/>
    <sheet name="Age vs Overall (2)" sheetId="13" r:id="rId6"/>
    <sheet name="Age Satis PivotTab" sheetId="12" r:id="rId7"/>
    <sheet name="Gender vs Overall Satis" sheetId="9" r:id="rId8"/>
    <sheet name="Age vs SelfAwareXXX" sheetId="8" r:id="rId9"/>
    <sheet name="Pos vs Overall Satis" sheetId="10" r:id="rId10"/>
    <sheet name="Educ vs Overall Satis" sheetId="14" r:id="rId11"/>
    <sheet name="JobLev vs Satis" sheetId="15" r:id="rId12"/>
    <sheet name="References" sheetId="11" r:id="rId13"/>
    <sheet name="Anal Cals" sheetId="17" r:id="rId14"/>
    <sheet name="Emot_Satisf_Gender" sheetId="6" r:id="rId15"/>
    <sheet name="Sheet1" sheetId="16" r:id="rId16"/>
  </sheets>
  <definedNames>
    <definedName name="Age">'Emot_Satis_Tallies Plots'!$A$2:$A$137</definedName>
    <definedName name="Educ">'Emot_Satis_Tallies Plots'!$E$3:$E$137</definedName>
    <definedName name="Exper">'Emot_Satis_Tallies Plots'!$D$2:$D$137</definedName>
    <definedName name="Gend">'Emot_Satis_Tallies Plots'!$B$2:$B$137</definedName>
    <definedName name="Job_Lvl">'Emot_Satis_Tallies Plots'!$F$2:$F$137</definedName>
    <definedName name="Pos">'Emot_Satis_Tallies Plots'!$C$2:$C$137</definedName>
    <definedName name="_xlnm.Print_Area" localSheetId="4">'Age vs Overall SatisXX'!$O$1:$AT$81</definedName>
    <definedName name="Satis_1">'Emot_Satis_Tallies Plots'!$G$2:$G$137</definedName>
    <definedName name="Satis_2">'Emot_Satis_Tallies Plots'!$H$2:$H$137</definedName>
    <definedName name="Satis_3">'Emot_Satis_Tallies Plots'!$H$2:$H$137</definedName>
    <definedName name="Satis_4">'Emot_Satis_Tallies Plots'!$J$2:$J$137</definedName>
    <definedName name="Satis_5">'Emot_Satis_Tallies Plots'!$K$2:$K$137</definedName>
    <definedName name="Satis_6">'Emot_Satis_Tallies Plots'!$L$2:$L$137</definedName>
    <definedName name="solver_eng" localSheetId="3" hidden="1">1</definedName>
    <definedName name="solver_eng" localSheetId="0" hidden="1">1</definedName>
    <definedName name="solver_neg" localSheetId="3" hidden="1">1</definedName>
    <definedName name="solver_neg" localSheetId="0" hidden="1">1</definedName>
    <definedName name="solver_num" localSheetId="3" hidden="1">0</definedName>
    <definedName name="solver_num" localSheetId="0" hidden="1">0</definedName>
    <definedName name="solver_opt" localSheetId="3" hidden="1">'Overall Satisf_Desc Stats'!$B$50</definedName>
    <definedName name="solver_opt" localSheetId="0" hidden="1">Variables!$B$21</definedName>
    <definedName name="solver_typ" localSheetId="3" hidden="1">1</definedName>
    <definedName name="solver_typ" localSheetId="0" hidden="1">1</definedName>
    <definedName name="solver_val" localSheetId="3" hidden="1">0</definedName>
    <definedName name="solver_val" localSheetId="0" hidden="1">0</definedName>
    <definedName name="solver_ver" localSheetId="3" hidden="1">3</definedName>
    <definedName name="solver_ver" localSheetId="0" hidden="1">3</definedName>
  </definedNames>
  <calcPr calcId="162913"/>
  <pivotCaches>
    <pivotCache cacheId="0" r:id="rId17"/>
    <pivotCache cacheId="1" r:id="rId18"/>
    <pivotCache cacheId="2" r:id="rId1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6" i="17" l="1"/>
  <c r="G45" i="17"/>
  <c r="E45" i="17"/>
  <c r="E46" i="17"/>
  <c r="E38" i="17"/>
  <c r="F38" i="17"/>
  <c r="E39" i="17"/>
  <c r="F39" i="17"/>
  <c r="B40" i="17"/>
  <c r="C40" i="17" s="1"/>
  <c r="B46" i="17"/>
  <c r="C46" i="17" s="1"/>
  <c r="C45" i="17"/>
  <c r="F45" i="17" s="1"/>
  <c r="C44" i="17"/>
  <c r="F44" i="17" s="1"/>
  <c r="E40" i="17" l="1"/>
  <c r="F40" i="17"/>
  <c r="F46" i="17"/>
  <c r="E44" i="17"/>
  <c r="G30" i="17"/>
  <c r="G31" i="17"/>
  <c r="F31" i="17"/>
  <c r="F32" i="17"/>
  <c r="F30" i="17"/>
  <c r="E31" i="17"/>
  <c r="E32" i="17"/>
  <c r="E30" i="17"/>
  <c r="B32" i="17"/>
  <c r="C32" i="17" s="1"/>
  <c r="C31" i="17"/>
  <c r="C30" i="17"/>
  <c r="C25" i="17"/>
  <c r="F25" i="17" s="1"/>
  <c r="C24" i="17"/>
  <c r="E24" i="17" s="1"/>
  <c r="F26" i="17"/>
  <c r="E26" i="17"/>
  <c r="C26" i="17"/>
  <c r="B26" i="17"/>
  <c r="E25" i="17" l="1"/>
  <c r="F24" i="17"/>
  <c r="C14" i="17"/>
  <c r="C15" i="17"/>
  <c r="C16" i="17"/>
  <c r="C17" i="17"/>
  <c r="C13" i="17"/>
  <c r="B4" i="17"/>
  <c r="B3" i="17"/>
  <c r="B2" i="17"/>
  <c r="C7" i="17"/>
  <c r="B7" i="17"/>
  <c r="C6" i="17"/>
  <c r="B6" i="17"/>
  <c r="C5" i="17"/>
  <c r="B5" i="17"/>
  <c r="C4" i="17"/>
  <c r="C3" i="17"/>
  <c r="C2" i="17"/>
  <c r="AB11" i="13" l="1"/>
  <c r="AD37" i="13" l="1"/>
  <c r="U31" i="13"/>
  <c r="AQ73" i="15" l="1"/>
  <c r="AI76" i="15"/>
  <c r="AJ76" i="15"/>
  <c r="AK76" i="15"/>
  <c r="AL76" i="15"/>
  <c r="AM76" i="15"/>
  <c r="AH76" i="15"/>
  <c r="Z75" i="15"/>
  <c r="AA75" i="15"/>
  <c r="AB75" i="15"/>
  <c r="AC75" i="15"/>
  <c r="Z74" i="15"/>
  <c r="AA74" i="15"/>
  <c r="AB74" i="15"/>
  <c r="AC74" i="15"/>
  <c r="Y74" i="15"/>
  <c r="Y75" i="15"/>
  <c r="Z73" i="15"/>
  <c r="AA73" i="15"/>
  <c r="AB73" i="15"/>
  <c r="AC73" i="15"/>
  <c r="Y73" i="15"/>
  <c r="T75" i="15"/>
  <c r="S75" i="15"/>
  <c r="R75" i="15"/>
  <c r="R76" i="15" s="1"/>
  <c r="Q75" i="15"/>
  <c r="Q76" i="15"/>
  <c r="P75" i="15"/>
  <c r="T74" i="15"/>
  <c r="S74" i="15"/>
  <c r="R74" i="15"/>
  <c r="Q74" i="15"/>
  <c r="P74" i="15"/>
  <c r="T73" i="15"/>
  <c r="S73" i="15"/>
  <c r="R73" i="15"/>
  <c r="Q73" i="15"/>
  <c r="P73" i="15"/>
  <c r="AQ59" i="15"/>
  <c r="AI62" i="15"/>
  <c r="AJ62" i="15"/>
  <c r="AK62" i="15"/>
  <c r="AL62" i="15"/>
  <c r="AM62" i="15"/>
  <c r="AH62" i="15"/>
  <c r="Z62" i="15"/>
  <c r="AA62" i="15"/>
  <c r="AB62" i="15"/>
  <c r="AC62" i="15"/>
  <c r="AD62" i="15"/>
  <c r="Y62" i="15"/>
  <c r="Z61" i="15"/>
  <c r="AA61" i="15"/>
  <c r="AB61" i="15"/>
  <c r="AC61" i="15"/>
  <c r="Z60" i="15"/>
  <c r="AA60" i="15"/>
  <c r="AB60" i="15"/>
  <c r="AC60" i="15"/>
  <c r="Y60" i="15"/>
  <c r="Y61" i="15"/>
  <c r="Z59" i="15"/>
  <c r="AA59" i="15"/>
  <c r="AB59" i="15"/>
  <c r="AC59" i="15"/>
  <c r="Y59" i="15"/>
  <c r="Q62" i="15"/>
  <c r="R62" i="15"/>
  <c r="S62" i="15"/>
  <c r="T62" i="15"/>
  <c r="U62" i="15"/>
  <c r="P62" i="15"/>
  <c r="T61" i="15"/>
  <c r="S61" i="15"/>
  <c r="R61" i="15"/>
  <c r="Q61" i="15"/>
  <c r="P61" i="15"/>
  <c r="T60" i="15"/>
  <c r="S60" i="15"/>
  <c r="R60" i="15"/>
  <c r="Q60" i="15"/>
  <c r="P60" i="15"/>
  <c r="T59" i="15"/>
  <c r="S59" i="15"/>
  <c r="R59" i="15"/>
  <c r="Q59" i="15"/>
  <c r="P59" i="15"/>
  <c r="AQ9" i="15"/>
  <c r="AQ45" i="15"/>
  <c r="AI48" i="15"/>
  <c r="AJ48" i="15"/>
  <c r="AK48" i="15"/>
  <c r="AL48" i="15"/>
  <c r="AM48" i="15"/>
  <c r="AH48" i="15"/>
  <c r="Z48" i="15"/>
  <c r="AA48" i="15"/>
  <c r="AB48" i="15"/>
  <c r="AC48" i="15"/>
  <c r="AD48" i="15"/>
  <c r="Y48" i="15"/>
  <c r="Z47" i="15"/>
  <c r="AA47" i="15"/>
  <c r="AB47" i="15"/>
  <c r="AC47" i="15"/>
  <c r="Z46" i="15"/>
  <c r="AA46" i="15"/>
  <c r="AB46" i="15"/>
  <c r="AC46" i="15"/>
  <c r="Y46" i="15"/>
  <c r="Y47" i="15"/>
  <c r="Z45" i="15"/>
  <c r="AA45" i="15"/>
  <c r="AB45" i="15"/>
  <c r="AC45" i="15"/>
  <c r="Y45" i="15"/>
  <c r="Q48" i="15"/>
  <c r="R48" i="15"/>
  <c r="S48" i="15"/>
  <c r="T48" i="15"/>
  <c r="U48" i="15"/>
  <c r="P48" i="15"/>
  <c r="T47" i="15"/>
  <c r="S47" i="15"/>
  <c r="R47" i="15"/>
  <c r="Q47" i="15"/>
  <c r="P47" i="15"/>
  <c r="T46" i="15"/>
  <c r="S46" i="15"/>
  <c r="R46" i="15"/>
  <c r="Q46" i="15"/>
  <c r="P46" i="15"/>
  <c r="T45" i="15"/>
  <c r="S45" i="15"/>
  <c r="R45" i="15"/>
  <c r="Q45" i="15"/>
  <c r="P45" i="15"/>
  <c r="AQ31" i="15"/>
  <c r="AI34" i="15"/>
  <c r="AJ34" i="15"/>
  <c r="AK34" i="15"/>
  <c r="AL34" i="15"/>
  <c r="AM34" i="15"/>
  <c r="AH34" i="15"/>
  <c r="Z34" i="15"/>
  <c r="AA34" i="15"/>
  <c r="AB34" i="15"/>
  <c r="AC34" i="15"/>
  <c r="AD34" i="15"/>
  <c r="Y34" i="15"/>
  <c r="Q34" i="15"/>
  <c r="R34" i="15"/>
  <c r="S34" i="15"/>
  <c r="T34" i="15"/>
  <c r="U34" i="15"/>
  <c r="P34" i="15"/>
  <c r="T33" i="15"/>
  <c r="S33" i="15"/>
  <c r="R33" i="15"/>
  <c r="Q33" i="15"/>
  <c r="P33" i="15"/>
  <c r="T32" i="15"/>
  <c r="S32" i="15"/>
  <c r="R32" i="15"/>
  <c r="Q32" i="15"/>
  <c r="P32" i="15"/>
  <c r="T31" i="15"/>
  <c r="S31" i="15"/>
  <c r="R31" i="15"/>
  <c r="Q31" i="15"/>
  <c r="P31" i="15"/>
  <c r="AQ72" i="15"/>
  <c r="AQ58" i="15"/>
  <c r="AQ44" i="15"/>
  <c r="AQ30" i="15"/>
  <c r="AQ16" i="15"/>
  <c r="AQ4" i="15"/>
  <c r="AQ17" i="15"/>
  <c r="AI20" i="15"/>
  <c r="AJ20" i="15"/>
  <c r="AK20" i="15"/>
  <c r="AL20" i="15"/>
  <c r="AM20" i="15"/>
  <c r="AH20" i="15"/>
  <c r="Z20" i="15"/>
  <c r="AA20" i="15"/>
  <c r="AB20" i="15"/>
  <c r="AC20" i="15"/>
  <c r="AD20" i="15"/>
  <c r="Y20" i="15"/>
  <c r="Q20" i="15"/>
  <c r="R20" i="15"/>
  <c r="S20" i="15"/>
  <c r="T20" i="15"/>
  <c r="U20" i="15"/>
  <c r="P20" i="15"/>
  <c r="T19" i="15"/>
  <c r="S19" i="15"/>
  <c r="R19" i="15"/>
  <c r="Q19" i="15"/>
  <c r="P19" i="15"/>
  <c r="T18" i="15"/>
  <c r="S18" i="15"/>
  <c r="R18" i="15"/>
  <c r="Q18" i="15"/>
  <c r="P18" i="15"/>
  <c r="T17" i="15"/>
  <c r="S17" i="15"/>
  <c r="R17" i="15"/>
  <c r="Q17" i="15"/>
  <c r="P17" i="15"/>
  <c r="AQ5" i="15"/>
  <c r="AI6" i="15"/>
  <c r="AJ6" i="15"/>
  <c r="AK6" i="15"/>
  <c r="AL6" i="15"/>
  <c r="AM6" i="15"/>
  <c r="AH6" i="15"/>
  <c r="Z6" i="15"/>
  <c r="AA6" i="15"/>
  <c r="AB6" i="15"/>
  <c r="AC6" i="15"/>
  <c r="AD6" i="15"/>
  <c r="Y6" i="15"/>
  <c r="Z3" i="15"/>
  <c r="AA3" i="15"/>
  <c r="AB3" i="15"/>
  <c r="AC3" i="15"/>
  <c r="Q6" i="15"/>
  <c r="R6" i="15"/>
  <c r="S6" i="15"/>
  <c r="T6" i="15"/>
  <c r="U6" i="15"/>
  <c r="P6" i="15"/>
  <c r="T5" i="15"/>
  <c r="S5" i="15"/>
  <c r="R5" i="15"/>
  <c r="Q5" i="15"/>
  <c r="P5" i="15"/>
  <c r="T4" i="15"/>
  <c r="S4" i="15"/>
  <c r="R4" i="15"/>
  <c r="Q4" i="15"/>
  <c r="P4" i="15"/>
  <c r="T3" i="15"/>
  <c r="S3" i="15"/>
  <c r="R3" i="15"/>
  <c r="Q3" i="15"/>
  <c r="P3" i="15"/>
  <c r="AJ59" i="10"/>
  <c r="AK59" i="10"/>
  <c r="AL59" i="10"/>
  <c r="AI59" i="10"/>
  <c r="AQ73" i="14"/>
  <c r="AI77" i="14"/>
  <c r="AJ77" i="14"/>
  <c r="AK77" i="14"/>
  <c r="AL77" i="14"/>
  <c r="AM77" i="14"/>
  <c r="AH77" i="14"/>
  <c r="AM76" i="14"/>
  <c r="AI76" i="14"/>
  <c r="AJ76" i="14"/>
  <c r="AK76" i="14"/>
  <c r="AL76" i="14"/>
  <c r="AH76" i="14"/>
  <c r="AJ62" i="14"/>
  <c r="AM62" i="14" s="1"/>
  <c r="AK62" i="14"/>
  <c r="AL62" i="14"/>
  <c r="Z77" i="14"/>
  <c r="AA77" i="14"/>
  <c r="AB77" i="14"/>
  <c r="AC77" i="14"/>
  <c r="AD77" i="14"/>
  <c r="Y77" i="14"/>
  <c r="AD76" i="14"/>
  <c r="Z76" i="14"/>
  <c r="AA76" i="14"/>
  <c r="AB76" i="14"/>
  <c r="AC76" i="14"/>
  <c r="Y76" i="14"/>
  <c r="Q77" i="14"/>
  <c r="R77" i="14"/>
  <c r="S77" i="14"/>
  <c r="T77" i="14"/>
  <c r="U77" i="14"/>
  <c r="P77" i="14"/>
  <c r="U76" i="14"/>
  <c r="T76" i="14"/>
  <c r="S76" i="14"/>
  <c r="R76" i="14"/>
  <c r="Q76" i="14"/>
  <c r="P76" i="14"/>
  <c r="S75" i="14"/>
  <c r="T75" i="14"/>
  <c r="R75" i="14"/>
  <c r="Q75" i="14"/>
  <c r="P75" i="14"/>
  <c r="T74" i="14"/>
  <c r="S74" i="14"/>
  <c r="R74" i="14"/>
  <c r="Q74" i="14"/>
  <c r="P74" i="14"/>
  <c r="T73" i="14"/>
  <c r="S73" i="14"/>
  <c r="R73" i="14"/>
  <c r="Q73" i="14"/>
  <c r="P73" i="14"/>
  <c r="AI60" i="14"/>
  <c r="AI61" i="14"/>
  <c r="AI62" i="14"/>
  <c r="AJ59" i="14"/>
  <c r="AJ63" i="14" s="1"/>
  <c r="AK59" i="14"/>
  <c r="AK63" i="14" s="1"/>
  <c r="AL59" i="14"/>
  <c r="AL63" i="14" s="1"/>
  <c r="AI59" i="14"/>
  <c r="AI63" i="14"/>
  <c r="AH63" i="14"/>
  <c r="AD63" i="14"/>
  <c r="Z63" i="14"/>
  <c r="AA63" i="14"/>
  <c r="AB63" i="14"/>
  <c r="AC63" i="14"/>
  <c r="Y63" i="14"/>
  <c r="AD62" i="14"/>
  <c r="Z62" i="14"/>
  <c r="AA62" i="14"/>
  <c r="AB62" i="14"/>
  <c r="AC62" i="14"/>
  <c r="Y60" i="14"/>
  <c r="Y61" i="14"/>
  <c r="Y62" i="14"/>
  <c r="Q60" i="14"/>
  <c r="Q63" i="14"/>
  <c r="R63" i="14"/>
  <c r="S63" i="14"/>
  <c r="T63" i="14"/>
  <c r="P63" i="14"/>
  <c r="U62" i="14"/>
  <c r="T62" i="14"/>
  <c r="S62" i="14"/>
  <c r="R62" i="14"/>
  <c r="Q62" i="14"/>
  <c r="P62" i="14"/>
  <c r="T61" i="14"/>
  <c r="S61" i="14"/>
  <c r="R61" i="14"/>
  <c r="Q61" i="14"/>
  <c r="P61" i="14"/>
  <c r="T60" i="14"/>
  <c r="S60" i="14"/>
  <c r="R60" i="14"/>
  <c r="P60" i="14"/>
  <c r="T59" i="14"/>
  <c r="S59" i="14"/>
  <c r="R59" i="14"/>
  <c r="Q59" i="14"/>
  <c r="P59" i="14"/>
  <c r="AQ45" i="14"/>
  <c r="AM49" i="14"/>
  <c r="AI49" i="14"/>
  <c r="AJ49" i="14"/>
  <c r="AK49" i="14"/>
  <c r="AL49" i="14"/>
  <c r="AH49" i="14"/>
  <c r="AM48" i="14"/>
  <c r="AI47" i="14"/>
  <c r="AJ47" i="14"/>
  <c r="AK47" i="14"/>
  <c r="AL47" i="14"/>
  <c r="AI48" i="14"/>
  <c r="AJ48" i="14"/>
  <c r="AK48" i="14"/>
  <c r="AL48" i="14"/>
  <c r="AH48" i="14"/>
  <c r="AD49" i="14"/>
  <c r="AD48" i="14"/>
  <c r="Z49" i="14"/>
  <c r="AA49" i="14"/>
  <c r="AB49" i="14"/>
  <c r="AC49" i="14"/>
  <c r="Y49" i="14"/>
  <c r="Z47" i="14"/>
  <c r="AA47" i="14"/>
  <c r="AB47" i="14"/>
  <c r="AC47" i="14"/>
  <c r="Z48" i="14"/>
  <c r="AA48" i="14"/>
  <c r="AB48" i="14"/>
  <c r="AC48" i="14"/>
  <c r="Y48" i="14"/>
  <c r="U49" i="14"/>
  <c r="Q49" i="14"/>
  <c r="R49" i="14"/>
  <c r="S49" i="14"/>
  <c r="T49" i="14"/>
  <c r="P49" i="14"/>
  <c r="U48" i="14"/>
  <c r="T48" i="14"/>
  <c r="S48" i="14"/>
  <c r="R48" i="14"/>
  <c r="Q48" i="14"/>
  <c r="P48" i="14"/>
  <c r="T47" i="14"/>
  <c r="S47" i="14"/>
  <c r="R47" i="14"/>
  <c r="Q47" i="14"/>
  <c r="P47" i="14"/>
  <c r="T46" i="14"/>
  <c r="S46" i="14"/>
  <c r="R46" i="14"/>
  <c r="Q46" i="14"/>
  <c r="P46" i="14"/>
  <c r="T45" i="14"/>
  <c r="S45" i="14"/>
  <c r="R45" i="14"/>
  <c r="Q45" i="14"/>
  <c r="P45" i="14"/>
  <c r="AQ31" i="14"/>
  <c r="AM35" i="14"/>
  <c r="AM34" i="14"/>
  <c r="AI35" i="14"/>
  <c r="AJ35" i="14"/>
  <c r="AK35" i="14"/>
  <c r="AL35" i="14"/>
  <c r="AH35" i="14"/>
  <c r="AI34" i="14"/>
  <c r="AJ34" i="14"/>
  <c r="AK34" i="14"/>
  <c r="AL34" i="14"/>
  <c r="AH34" i="14"/>
  <c r="AD35" i="14"/>
  <c r="Z35" i="14"/>
  <c r="AA35" i="14"/>
  <c r="AB35" i="14"/>
  <c r="AC35" i="14"/>
  <c r="Y35" i="14"/>
  <c r="AD34" i="14"/>
  <c r="Z34" i="14"/>
  <c r="AA34" i="14"/>
  <c r="AB34" i="14"/>
  <c r="AC34" i="14"/>
  <c r="Y34" i="14"/>
  <c r="Q35" i="14"/>
  <c r="U35" i="14" s="1"/>
  <c r="R35" i="14"/>
  <c r="S35" i="14"/>
  <c r="T35" i="14"/>
  <c r="P35" i="14"/>
  <c r="U34" i="14"/>
  <c r="T34" i="14"/>
  <c r="S34" i="14"/>
  <c r="R34" i="14"/>
  <c r="Q34" i="14"/>
  <c r="P34" i="14"/>
  <c r="T33" i="14"/>
  <c r="S33" i="14"/>
  <c r="R33" i="14"/>
  <c r="Q33" i="14"/>
  <c r="P33" i="14"/>
  <c r="T32" i="14"/>
  <c r="S32" i="14"/>
  <c r="R32" i="14"/>
  <c r="Q32" i="14"/>
  <c r="P32" i="14"/>
  <c r="T31" i="14"/>
  <c r="S31" i="14"/>
  <c r="R31" i="14"/>
  <c r="Q31" i="14"/>
  <c r="P31" i="14"/>
  <c r="AQ72" i="14"/>
  <c r="AQ58" i="14"/>
  <c r="AQ44" i="14"/>
  <c r="AQ30" i="14"/>
  <c r="AQ16" i="14"/>
  <c r="AQ17" i="14"/>
  <c r="AM21" i="14"/>
  <c r="AI21" i="14"/>
  <c r="AJ21" i="14"/>
  <c r="AK21" i="14"/>
  <c r="AL21" i="14"/>
  <c r="AH21" i="14"/>
  <c r="AM20" i="14"/>
  <c r="AI20" i="14"/>
  <c r="AJ20" i="14"/>
  <c r="AK20" i="14"/>
  <c r="AL20" i="14"/>
  <c r="AH20" i="14"/>
  <c r="Z21" i="14"/>
  <c r="AA21" i="14"/>
  <c r="AB21" i="14"/>
  <c r="AC21" i="14"/>
  <c r="AD21" i="14"/>
  <c r="Y21" i="14"/>
  <c r="AD20" i="14"/>
  <c r="Z19" i="14"/>
  <c r="AA19" i="14"/>
  <c r="AB19" i="14"/>
  <c r="AC19" i="14"/>
  <c r="Z20" i="14"/>
  <c r="AA20" i="14"/>
  <c r="AB20" i="14"/>
  <c r="AC20" i="14"/>
  <c r="Y20" i="14"/>
  <c r="Z18" i="14"/>
  <c r="AA18" i="14"/>
  <c r="AB18" i="14"/>
  <c r="AC18" i="14"/>
  <c r="Y18" i="14"/>
  <c r="Y19" i="14"/>
  <c r="Z17" i="14"/>
  <c r="AA17" i="14"/>
  <c r="AB17" i="14"/>
  <c r="AC17" i="14"/>
  <c r="Y17" i="14"/>
  <c r="U20" i="14"/>
  <c r="Q21" i="14"/>
  <c r="R21" i="14"/>
  <c r="S21" i="14"/>
  <c r="T21" i="14"/>
  <c r="P21" i="14"/>
  <c r="T20" i="14"/>
  <c r="S20" i="14"/>
  <c r="R20" i="14"/>
  <c r="Q20" i="14"/>
  <c r="P20" i="14"/>
  <c r="T19" i="14"/>
  <c r="S19" i="14"/>
  <c r="R19" i="14"/>
  <c r="Q19" i="14"/>
  <c r="P19" i="14"/>
  <c r="T18" i="14"/>
  <c r="S18" i="14"/>
  <c r="R18" i="14"/>
  <c r="Q18" i="14"/>
  <c r="P18" i="14"/>
  <c r="T17" i="14"/>
  <c r="S17" i="14"/>
  <c r="R17" i="14"/>
  <c r="Q17" i="14"/>
  <c r="P17" i="14"/>
  <c r="AQ9" i="10"/>
  <c r="AQ9" i="9"/>
  <c r="AQ49" i="9" s="1"/>
  <c r="AQ77" i="9"/>
  <c r="AQ24" i="13"/>
  <c r="AQ10" i="13"/>
  <c r="AQ9" i="14"/>
  <c r="AQ4" i="14"/>
  <c r="S3" i="14"/>
  <c r="P7" i="14"/>
  <c r="T6" i="14"/>
  <c r="S6" i="14"/>
  <c r="U6" i="14" s="1"/>
  <c r="R6" i="14"/>
  <c r="Q6" i="14"/>
  <c r="P6" i="14"/>
  <c r="T5" i="14"/>
  <c r="S5" i="14"/>
  <c r="R5" i="14"/>
  <c r="Q5" i="14"/>
  <c r="P5" i="14"/>
  <c r="T4" i="14"/>
  <c r="T7" i="14" s="1"/>
  <c r="S4" i="14"/>
  <c r="R4" i="14"/>
  <c r="R7" i="14" s="1"/>
  <c r="Q4" i="14"/>
  <c r="Q7" i="14" s="1"/>
  <c r="P4" i="14"/>
  <c r="T3" i="14"/>
  <c r="R3" i="14"/>
  <c r="Q3" i="14"/>
  <c r="P3" i="14"/>
  <c r="AQ77" i="10"/>
  <c r="AQ63" i="9"/>
  <c r="AQ76" i="13"/>
  <c r="AQ62" i="13"/>
  <c r="AQ47" i="13"/>
  <c r="AQ33" i="13"/>
  <c r="AQ19" i="13"/>
  <c r="AQ4" i="13"/>
  <c r="T78" i="13"/>
  <c r="S78" i="13"/>
  <c r="R78" i="13"/>
  <c r="Q78" i="13"/>
  <c r="P78" i="13"/>
  <c r="T77" i="13"/>
  <c r="S77" i="13"/>
  <c r="R77" i="13"/>
  <c r="Q77" i="13"/>
  <c r="P77" i="13"/>
  <c r="T76" i="13"/>
  <c r="S76" i="13"/>
  <c r="R76" i="13"/>
  <c r="Q76" i="13"/>
  <c r="P76" i="13"/>
  <c r="T75" i="13"/>
  <c r="U75" i="13" s="1"/>
  <c r="S75" i="13"/>
  <c r="R75" i="13"/>
  <c r="Q75" i="13"/>
  <c r="P75" i="13"/>
  <c r="AM74" i="13"/>
  <c r="T74" i="13"/>
  <c r="S74" i="13"/>
  <c r="R74" i="13"/>
  <c r="Q74" i="13"/>
  <c r="P74" i="13"/>
  <c r="T73" i="13"/>
  <c r="S73" i="13"/>
  <c r="R73" i="13"/>
  <c r="Q73" i="13"/>
  <c r="P73" i="13"/>
  <c r="AH66" i="13"/>
  <c r="T64" i="13"/>
  <c r="S64" i="13"/>
  <c r="R64" i="13"/>
  <c r="Q64" i="13"/>
  <c r="P64" i="13"/>
  <c r="T63" i="13"/>
  <c r="S63" i="13"/>
  <c r="R63" i="13"/>
  <c r="Q63" i="13"/>
  <c r="P63" i="13"/>
  <c r="T62" i="13"/>
  <c r="S62" i="13"/>
  <c r="R62" i="13"/>
  <c r="Q62" i="13"/>
  <c r="P62" i="13"/>
  <c r="U62" i="13" s="1"/>
  <c r="T61" i="13"/>
  <c r="S61" i="13"/>
  <c r="R61" i="13"/>
  <c r="Q61" i="13"/>
  <c r="P61" i="13"/>
  <c r="AM60" i="13"/>
  <c r="T60" i="13"/>
  <c r="S60" i="13"/>
  <c r="R60" i="13"/>
  <c r="Q60" i="13"/>
  <c r="P60" i="13"/>
  <c r="T59" i="13"/>
  <c r="S59" i="13"/>
  <c r="R59" i="13"/>
  <c r="Q59" i="13"/>
  <c r="U59" i="13" s="1"/>
  <c r="P59" i="13"/>
  <c r="T50" i="13"/>
  <c r="S50" i="13"/>
  <c r="R50" i="13"/>
  <c r="Q50" i="13"/>
  <c r="P50" i="13"/>
  <c r="U50" i="13" s="1"/>
  <c r="T49" i="13"/>
  <c r="S49" i="13"/>
  <c r="R49" i="13"/>
  <c r="Q49" i="13"/>
  <c r="P49" i="13"/>
  <c r="T48" i="13"/>
  <c r="S48" i="13"/>
  <c r="R48" i="13"/>
  <c r="Q48" i="13"/>
  <c r="P48" i="13"/>
  <c r="T47" i="13"/>
  <c r="S47" i="13"/>
  <c r="R47" i="13"/>
  <c r="Q47" i="13"/>
  <c r="P47" i="13"/>
  <c r="U47" i="13" s="1"/>
  <c r="T46" i="13"/>
  <c r="S46" i="13"/>
  <c r="R46" i="13"/>
  <c r="Q46" i="13"/>
  <c r="P46" i="13"/>
  <c r="AM45" i="13"/>
  <c r="T45" i="13"/>
  <c r="S45" i="13"/>
  <c r="R45" i="13"/>
  <c r="Q45" i="13"/>
  <c r="P45" i="13"/>
  <c r="T36" i="13"/>
  <c r="S36" i="13"/>
  <c r="R36" i="13"/>
  <c r="Q36" i="13"/>
  <c r="P36" i="13"/>
  <c r="T35" i="13"/>
  <c r="S35" i="13"/>
  <c r="R35" i="13"/>
  <c r="Q35" i="13"/>
  <c r="P35" i="13"/>
  <c r="U35" i="13" s="1"/>
  <c r="T34" i="13"/>
  <c r="S34" i="13"/>
  <c r="R34" i="13"/>
  <c r="U34" i="13" s="1"/>
  <c r="Q34" i="13"/>
  <c r="P34" i="13"/>
  <c r="T33" i="13"/>
  <c r="S33" i="13"/>
  <c r="R33" i="13"/>
  <c r="Q33" i="13"/>
  <c r="P33" i="13"/>
  <c r="U33" i="13" s="1"/>
  <c r="T32" i="13"/>
  <c r="S32" i="13"/>
  <c r="R32" i="13"/>
  <c r="Q32" i="13"/>
  <c r="P32" i="13"/>
  <c r="AM31" i="13"/>
  <c r="T31" i="13"/>
  <c r="S31" i="13"/>
  <c r="R31" i="13"/>
  <c r="Q31" i="13"/>
  <c r="P31" i="13"/>
  <c r="T22" i="13"/>
  <c r="U22" i="13" s="1"/>
  <c r="S22" i="13"/>
  <c r="R22" i="13"/>
  <c r="Q22" i="13"/>
  <c r="P22" i="13"/>
  <c r="T21" i="13"/>
  <c r="S21" i="13"/>
  <c r="R21" i="13"/>
  <c r="Q21" i="13"/>
  <c r="P21" i="13"/>
  <c r="T20" i="13"/>
  <c r="T23" i="13" s="1"/>
  <c r="S20" i="13"/>
  <c r="R20" i="13"/>
  <c r="Q20" i="13"/>
  <c r="P20" i="13"/>
  <c r="T19" i="13"/>
  <c r="S19" i="13"/>
  <c r="R19" i="13"/>
  <c r="Q19" i="13"/>
  <c r="P19" i="13"/>
  <c r="T18" i="13"/>
  <c r="S18" i="13"/>
  <c r="R18" i="13"/>
  <c r="R23" i="13" s="1"/>
  <c r="Q18" i="13"/>
  <c r="P18" i="13"/>
  <c r="AM17" i="13"/>
  <c r="T17" i="13"/>
  <c r="S17" i="13"/>
  <c r="S23" i="13" s="1"/>
  <c r="R17" i="13"/>
  <c r="Q17" i="13"/>
  <c r="P17" i="13"/>
  <c r="P9" i="13"/>
  <c r="T8" i="13"/>
  <c r="S8" i="13"/>
  <c r="R8" i="13"/>
  <c r="Q8" i="13"/>
  <c r="P8" i="13"/>
  <c r="T7" i="13"/>
  <c r="S7" i="13"/>
  <c r="R7" i="13"/>
  <c r="Q7" i="13"/>
  <c r="P7" i="13"/>
  <c r="T6" i="13"/>
  <c r="S6" i="13"/>
  <c r="R6" i="13"/>
  <c r="Q6" i="13"/>
  <c r="P6" i="13"/>
  <c r="T5" i="13"/>
  <c r="S5" i="13"/>
  <c r="R5" i="13"/>
  <c r="Q5" i="13"/>
  <c r="P5" i="13"/>
  <c r="T4" i="13"/>
  <c r="S4" i="13"/>
  <c r="R4" i="13"/>
  <c r="R9" i="13" s="1"/>
  <c r="Q4" i="13"/>
  <c r="U4" i="13" s="1"/>
  <c r="P4" i="13"/>
  <c r="AM3" i="13"/>
  <c r="T3" i="13"/>
  <c r="T9" i="13" s="1"/>
  <c r="S3" i="13"/>
  <c r="R3" i="13"/>
  <c r="Q3" i="13"/>
  <c r="P3" i="13"/>
  <c r="U3" i="13" s="1"/>
  <c r="AQ81" i="7"/>
  <c r="AQ67" i="7"/>
  <c r="AQ10" i="7"/>
  <c r="O94" i="5" a="1"/>
  <c r="O99" i="5" s="1"/>
  <c r="AF3" i="5" a="1"/>
  <c r="AF7" i="5" s="1"/>
  <c r="AE8" i="5"/>
  <c r="AE6" i="5"/>
  <c r="AE3" i="5" a="1"/>
  <c r="AE7" i="5" s="1"/>
  <c r="AD3" i="5" a="1"/>
  <c r="AD3" i="5" s="1"/>
  <c r="AC8" i="5"/>
  <c r="AC7" i="5"/>
  <c r="AC6" i="5"/>
  <c r="AC5" i="5"/>
  <c r="AC4" i="5"/>
  <c r="AC3" i="5" a="1"/>
  <c r="AC3" i="5" s="1"/>
  <c r="AB3" i="5" a="1"/>
  <c r="AB8" i="5" s="1"/>
  <c r="AA3" i="5" a="1"/>
  <c r="AA6" i="5" s="1"/>
  <c r="O76" i="5" a="1"/>
  <c r="O78" i="5" s="1"/>
  <c r="O57" i="5" a="1"/>
  <c r="O60" i="5" s="1"/>
  <c r="O40" i="5" a="1"/>
  <c r="O44" i="5" s="1"/>
  <c r="AE3" i="5" l="1"/>
  <c r="AA7" i="5"/>
  <c r="AE4" i="5"/>
  <c r="AA8" i="5"/>
  <c r="AE5" i="5"/>
  <c r="AF8" i="5"/>
  <c r="U75" i="15"/>
  <c r="T76" i="15"/>
  <c r="S76" i="15"/>
  <c r="U74" i="15"/>
  <c r="U73" i="15"/>
  <c r="P76" i="15"/>
  <c r="U60" i="15"/>
  <c r="U59" i="15"/>
  <c r="U33" i="15"/>
  <c r="U32" i="15"/>
  <c r="U17" i="15"/>
  <c r="U5" i="15"/>
  <c r="U4" i="15"/>
  <c r="U3" i="15"/>
  <c r="U31" i="15"/>
  <c r="U18" i="15"/>
  <c r="U19" i="15"/>
  <c r="U47" i="15"/>
  <c r="U46" i="15"/>
  <c r="U45" i="15"/>
  <c r="U61" i="15"/>
  <c r="AQ59" i="14"/>
  <c r="U59" i="14"/>
  <c r="U47" i="14"/>
  <c r="U46" i="14"/>
  <c r="U17" i="14"/>
  <c r="S7" i="14"/>
  <c r="U61" i="14"/>
  <c r="AQ11" i="9"/>
  <c r="AQ21" i="9"/>
  <c r="AQ35" i="9"/>
  <c r="AQ11" i="10"/>
  <c r="AQ21" i="10"/>
  <c r="AQ35" i="10"/>
  <c r="AQ49" i="10"/>
  <c r="U5" i="14"/>
  <c r="U4" i="14"/>
  <c r="U74" i="14"/>
  <c r="U75" i="14"/>
  <c r="U19" i="14"/>
  <c r="U32" i="14"/>
  <c r="U45" i="14"/>
  <c r="U3" i="14"/>
  <c r="U73" i="14"/>
  <c r="U60" i="14"/>
  <c r="U63" i="14" s="1"/>
  <c r="U31" i="14"/>
  <c r="U33" i="14"/>
  <c r="U18" i="14"/>
  <c r="P51" i="13"/>
  <c r="U49" i="13"/>
  <c r="U7" i="13"/>
  <c r="U64" i="13"/>
  <c r="U32" i="13"/>
  <c r="T79" i="13"/>
  <c r="U76" i="13"/>
  <c r="R65" i="13"/>
  <c r="U19" i="13"/>
  <c r="S65" i="13"/>
  <c r="S79" i="13"/>
  <c r="U73" i="13"/>
  <c r="U6" i="13"/>
  <c r="U20" i="13"/>
  <c r="U63" i="13"/>
  <c r="U18" i="13"/>
  <c r="Q23" i="13"/>
  <c r="U61" i="13"/>
  <c r="U77" i="13"/>
  <c r="P79" i="13"/>
  <c r="U48" i="13"/>
  <c r="S51" i="13"/>
  <c r="U45" i="13"/>
  <c r="T65" i="13"/>
  <c r="U74" i="13"/>
  <c r="U36" i="13"/>
  <c r="T51" i="13"/>
  <c r="Q9" i="13"/>
  <c r="Q37" i="13"/>
  <c r="P37" i="13"/>
  <c r="U78" i="13"/>
  <c r="Q51" i="13"/>
  <c r="R51" i="13"/>
  <c r="U8" i="13"/>
  <c r="P23" i="13"/>
  <c r="R37" i="13"/>
  <c r="U60" i="13"/>
  <c r="P65" i="13"/>
  <c r="Q79" i="13"/>
  <c r="U21" i="13"/>
  <c r="S37" i="13"/>
  <c r="Q65" i="13"/>
  <c r="R79" i="13"/>
  <c r="U17" i="13"/>
  <c r="T37" i="13"/>
  <c r="S9" i="13"/>
  <c r="U5" i="13"/>
  <c r="U46" i="13"/>
  <c r="O94" i="5"/>
  <c r="O95" i="5"/>
  <c r="O96" i="5"/>
  <c r="O97" i="5"/>
  <c r="O98" i="5"/>
  <c r="AB5" i="5"/>
  <c r="AD4" i="5"/>
  <c r="AB7" i="5"/>
  <c r="AD5" i="5"/>
  <c r="AA3" i="5"/>
  <c r="AD6" i="5"/>
  <c r="AF4" i="5"/>
  <c r="AA4" i="5"/>
  <c r="AD7" i="5"/>
  <c r="AF5" i="5"/>
  <c r="AA5" i="5"/>
  <c r="AD8" i="5"/>
  <c r="AF6" i="5"/>
  <c r="AB3" i="5"/>
  <c r="AB4" i="5"/>
  <c r="AB6" i="5"/>
  <c r="AF3" i="5"/>
  <c r="O57" i="5"/>
  <c r="O58" i="5"/>
  <c r="O59" i="5"/>
  <c r="O76" i="5"/>
  <c r="O77" i="5"/>
  <c r="O40" i="5"/>
  <c r="O41" i="5"/>
  <c r="O42" i="5"/>
  <c r="O43" i="5"/>
  <c r="U76" i="15" l="1"/>
  <c r="AI46" i="15"/>
  <c r="AI61" i="15"/>
  <c r="AL61" i="15"/>
  <c r="AI47" i="15"/>
  <c r="U7" i="14"/>
  <c r="Z3" i="14"/>
  <c r="AB32" i="14"/>
  <c r="AK32" i="14" s="1"/>
  <c r="AA75" i="14"/>
  <c r="AJ75" i="14" s="1"/>
  <c r="AB45" i="14"/>
  <c r="Z60" i="14"/>
  <c r="AC74" i="13"/>
  <c r="U23" i="13"/>
  <c r="U65" i="13"/>
  <c r="Z61" i="13" s="1"/>
  <c r="AI61" i="13" s="1"/>
  <c r="Y65" i="13"/>
  <c r="Y60" i="13"/>
  <c r="Y62" i="13"/>
  <c r="Y64" i="13"/>
  <c r="Y63" i="13"/>
  <c r="U51" i="13"/>
  <c r="AC50" i="13" s="1"/>
  <c r="AL50" i="13" s="1"/>
  <c r="AB34" i="13"/>
  <c r="AK34" i="13" s="1"/>
  <c r="AB47" i="13"/>
  <c r="AK47" i="13" s="1"/>
  <c r="Y32" i="13"/>
  <c r="AB61" i="13"/>
  <c r="AK61" i="13" s="1"/>
  <c r="AA61" i="13"/>
  <c r="AJ61" i="13" s="1"/>
  <c r="U79" i="13"/>
  <c r="Y74" i="13" s="1"/>
  <c r="AC63" i="13"/>
  <c r="AL63" i="13" s="1"/>
  <c r="AA46" i="13"/>
  <c r="AJ46" i="13" s="1"/>
  <c r="Z46" i="13"/>
  <c r="AI46" i="13" s="1"/>
  <c r="Y46" i="13"/>
  <c r="AB46" i="13"/>
  <c r="AK46" i="13" s="1"/>
  <c r="AC46" i="13"/>
  <c r="AL46" i="13" s="1"/>
  <c r="Z76" i="13"/>
  <c r="AI76" i="13" s="1"/>
  <c r="AB8" i="13"/>
  <c r="AK8" i="13" s="1"/>
  <c r="Z8" i="13"/>
  <c r="AI8" i="13" s="1"/>
  <c r="AC8" i="13"/>
  <c r="AL8" i="13" s="1"/>
  <c r="Y8" i="13"/>
  <c r="Z79" i="13"/>
  <c r="AI79" i="13" s="1"/>
  <c r="Y79" i="13"/>
  <c r="AC79" i="13"/>
  <c r="AL79" i="13" s="1"/>
  <c r="AB79" i="13"/>
  <c r="AK79" i="13" s="1"/>
  <c r="Y45" i="13"/>
  <c r="AC45" i="13"/>
  <c r="Z19" i="13"/>
  <c r="AI19" i="13" s="1"/>
  <c r="AC22" i="13"/>
  <c r="AL22" i="13" s="1"/>
  <c r="Y20" i="13"/>
  <c r="AB22" i="13"/>
  <c r="AK22" i="13" s="1"/>
  <c r="AA19" i="13"/>
  <c r="AJ19" i="13" s="1"/>
  <c r="U37" i="13"/>
  <c r="AC32" i="13" s="1"/>
  <c r="AL32" i="13" s="1"/>
  <c r="Y35" i="13"/>
  <c r="AC49" i="13"/>
  <c r="AL49" i="13" s="1"/>
  <c r="AA35" i="13"/>
  <c r="AJ35" i="13" s="1"/>
  <c r="AC64" i="13"/>
  <c r="AL64" i="13" s="1"/>
  <c r="AC62" i="13"/>
  <c r="AL62" i="13" s="1"/>
  <c r="Y18" i="13"/>
  <c r="AB18" i="13"/>
  <c r="AK18" i="13" s="1"/>
  <c r="AC78" i="13"/>
  <c r="AL78" i="13" s="1"/>
  <c r="AB78" i="13"/>
  <c r="AK78" i="13" s="1"/>
  <c r="AA78" i="13"/>
  <c r="AJ78" i="13" s="1"/>
  <c r="Z78" i="13"/>
  <c r="AI78" i="13" s="1"/>
  <c r="Y78" i="13"/>
  <c r="AC21" i="13"/>
  <c r="AL21" i="13" s="1"/>
  <c r="AA21" i="13"/>
  <c r="AJ21" i="13" s="1"/>
  <c r="AA32" i="13"/>
  <c r="AJ32" i="13" s="1"/>
  <c r="AB75" i="13"/>
  <c r="AK75" i="13" s="1"/>
  <c r="AA75" i="13"/>
  <c r="AJ75" i="13" s="1"/>
  <c r="Z75" i="13"/>
  <c r="AI75" i="13" s="1"/>
  <c r="Y75" i="13"/>
  <c r="AC75" i="13"/>
  <c r="AL75" i="13" s="1"/>
  <c r="Z20" i="13"/>
  <c r="AI20" i="13" s="1"/>
  <c r="AA17" i="13"/>
  <c r="Y17" i="13"/>
  <c r="Z18" i="13"/>
  <c r="AI18" i="13" s="1"/>
  <c r="Y22" i="13"/>
  <c r="Z60" i="13"/>
  <c r="AA20" i="13"/>
  <c r="AJ20" i="13" s="1"/>
  <c r="AA18" i="13"/>
  <c r="AJ18" i="13" s="1"/>
  <c r="Z77" i="13"/>
  <c r="AI77" i="13" s="1"/>
  <c r="Y5" i="13"/>
  <c r="AB5" i="13"/>
  <c r="AK5" i="13" s="1"/>
  <c r="AA5" i="13"/>
  <c r="AJ5" i="13" s="1"/>
  <c r="Z5" i="13"/>
  <c r="AI5" i="13" s="1"/>
  <c r="Y31" i="13"/>
  <c r="AC31" i="13"/>
  <c r="AB31" i="13"/>
  <c r="Z64" i="13"/>
  <c r="AI64" i="13" s="1"/>
  <c r="U9" i="13"/>
  <c r="AK74" i="15" l="1"/>
  <c r="AA76" i="15"/>
  <c r="AK75" i="15"/>
  <c r="Z76" i="15"/>
  <c r="Y76" i="15"/>
  <c r="AC76" i="15"/>
  <c r="AJ74" i="15"/>
  <c r="AB76" i="15"/>
  <c r="AL74" i="15"/>
  <c r="AI75" i="15"/>
  <c r="AI74" i="15"/>
  <c r="AL75" i="15"/>
  <c r="AJ75" i="15"/>
  <c r="AK45" i="15"/>
  <c r="AH46" i="15"/>
  <c r="AJ60" i="15"/>
  <c r="AI60" i="15"/>
  <c r="AL60" i="15"/>
  <c r="AH47" i="15"/>
  <c r="AL45" i="15"/>
  <c r="AD61" i="15"/>
  <c r="AK46" i="15"/>
  <c r="AK47" i="15"/>
  <c r="AL46" i="15"/>
  <c r="AJ47" i="15"/>
  <c r="AJ46" i="15"/>
  <c r="AL47" i="15"/>
  <c r="AK60" i="15"/>
  <c r="AJ61" i="15"/>
  <c r="AD60" i="15"/>
  <c r="AK61" i="15"/>
  <c r="AM61" i="15" s="1"/>
  <c r="AC60" i="14"/>
  <c r="AL60" i="14" s="1"/>
  <c r="AB6" i="14"/>
  <c r="AK6" i="14" s="1"/>
  <c r="AC6" i="14"/>
  <c r="AL6" i="14" s="1"/>
  <c r="Y6" i="14"/>
  <c r="Z6" i="14"/>
  <c r="AI6" i="14" s="1"/>
  <c r="AA6" i="14"/>
  <c r="AJ6" i="14" s="1"/>
  <c r="AB5" i="14"/>
  <c r="AK5" i="14" s="1"/>
  <c r="AA5" i="14"/>
  <c r="Z5" i="14"/>
  <c r="AI5" i="14" s="1"/>
  <c r="Y5" i="14"/>
  <c r="AC5" i="14"/>
  <c r="Y4" i="14"/>
  <c r="Y3" i="14"/>
  <c r="AH3" i="14" s="1"/>
  <c r="AC4" i="14"/>
  <c r="AL4" i="14" s="1"/>
  <c r="AC3" i="14"/>
  <c r="AB4" i="14"/>
  <c r="AB3" i="14"/>
  <c r="AA4" i="14"/>
  <c r="AJ4" i="14" s="1"/>
  <c r="AA3" i="14"/>
  <c r="Z4" i="14"/>
  <c r="Z7" i="14" s="1"/>
  <c r="AL3" i="14"/>
  <c r="AB75" i="14"/>
  <c r="AK75" i="14" s="1"/>
  <c r="AC75" i="14"/>
  <c r="AL75" i="14" s="1"/>
  <c r="AK45" i="14"/>
  <c r="Y31" i="14"/>
  <c r="Y47" i="14"/>
  <c r="AC46" i="14"/>
  <c r="AL46" i="14" s="1"/>
  <c r="Y46" i="14"/>
  <c r="Z31" i="14"/>
  <c r="Z32" i="14"/>
  <c r="AI32" i="14" s="1"/>
  <c r="AC33" i="14"/>
  <c r="AL33" i="14" s="1"/>
  <c r="AC45" i="14"/>
  <c r="AB31" i="14"/>
  <c r="Z33" i="14"/>
  <c r="AI33" i="14" s="1"/>
  <c r="Y74" i="14"/>
  <c r="AC31" i="14"/>
  <c r="AA33" i="14"/>
  <c r="AJ33" i="14" s="1"/>
  <c r="Z74" i="14"/>
  <c r="AI74" i="14" s="1"/>
  <c r="AA31" i="14"/>
  <c r="AB33" i="14"/>
  <c r="AK33" i="14" s="1"/>
  <c r="AA45" i="14"/>
  <c r="Y73" i="14"/>
  <c r="Z46" i="14"/>
  <c r="AI46" i="14" s="1"/>
  <c r="Z73" i="14"/>
  <c r="Z75" i="14"/>
  <c r="AI75" i="14" s="1"/>
  <c r="AC32" i="14"/>
  <c r="AL32" i="14" s="1"/>
  <c r="AA74" i="14"/>
  <c r="AJ74" i="14" s="1"/>
  <c r="Y32" i="14"/>
  <c r="Y33" i="14"/>
  <c r="AB74" i="14"/>
  <c r="AK74" i="14" s="1"/>
  <c r="AC74" i="14"/>
  <c r="AL74" i="14" s="1"/>
  <c r="AA32" i="14"/>
  <c r="AJ32" i="14" s="1"/>
  <c r="Z45" i="14"/>
  <c r="Y45" i="14"/>
  <c r="AC61" i="14"/>
  <c r="AL61" i="14" s="1"/>
  <c r="AC59" i="14"/>
  <c r="AB61" i="14"/>
  <c r="AK61" i="14" s="1"/>
  <c r="AB59" i="14"/>
  <c r="AA59" i="14"/>
  <c r="AA61" i="14"/>
  <c r="AJ61" i="14" s="1"/>
  <c r="Z61" i="14"/>
  <c r="Y59" i="14"/>
  <c r="Z59" i="14"/>
  <c r="AJ5" i="14"/>
  <c r="AL5" i="14"/>
  <c r="AK4" i="14"/>
  <c r="AA73" i="14"/>
  <c r="Y75" i="14"/>
  <c r="AA46" i="14"/>
  <c r="AJ46" i="14" s="1"/>
  <c r="AA60" i="14"/>
  <c r="AJ60" i="14" s="1"/>
  <c r="AB73" i="14"/>
  <c r="AB60" i="14"/>
  <c r="AK60" i="14" s="1"/>
  <c r="AC73" i="14"/>
  <c r="AB46" i="14"/>
  <c r="AK46" i="14" s="1"/>
  <c r="AC65" i="13"/>
  <c r="AL65" i="13" s="1"/>
  <c r="AA36" i="13"/>
  <c r="AJ36" i="13" s="1"/>
  <c r="AB74" i="13"/>
  <c r="AB20" i="13"/>
  <c r="AK20" i="13" s="1"/>
  <c r="AK23" i="13" s="1"/>
  <c r="AC20" i="13"/>
  <c r="AL20" i="13" s="1"/>
  <c r="Z22" i="13"/>
  <c r="AI22" i="13" s="1"/>
  <c r="AB17" i="13"/>
  <c r="AC47" i="13"/>
  <c r="AL47" i="13" s="1"/>
  <c r="AL51" i="13" s="1"/>
  <c r="Z45" i="13"/>
  <c r="AA47" i="13"/>
  <c r="AJ47" i="13" s="1"/>
  <c r="AC48" i="13"/>
  <c r="AL48" i="13" s="1"/>
  <c r="AC17" i="13"/>
  <c r="AB48" i="13"/>
  <c r="AK48" i="13" s="1"/>
  <c r="AA77" i="13"/>
  <c r="AJ77" i="13" s="1"/>
  <c r="AC19" i="13"/>
  <c r="AL19" i="13" s="1"/>
  <c r="Z17" i="13"/>
  <c r="Z23" i="13" s="1"/>
  <c r="AB21" i="13"/>
  <c r="AK21" i="13" s="1"/>
  <c r="AB36" i="13"/>
  <c r="AK36" i="13" s="1"/>
  <c r="AB45" i="13"/>
  <c r="Z50" i="13"/>
  <c r="AI50" i="13" s="1"/>
  <c r="AC61" i="13"/>
  <c r="AL61" i="13" s="1"/>
  <c r="AA49" i="13"/>
  <c r="AJ49" i="13" s="1"/>
  <c r="AA74" i="13"/>
  <c r="Y76" i="13"/>
  <c r="AA22" i="13"/>
  <c r="AJ22" i="13" s="1"/>
  <c r="AJ23" i="13" s="1"/>
  <c r="Y77" i="13"/>
  <c r="Y21" i="13"/>
  <c r="AH21" i="13" s="1"/>
  <c r="AM21" i="13" s="1"/>
  <c r="Y48" i="13"/>
  <c r="AH48" i="13" s="1"/>
  <c r="AM48" i="13" s="1"/>
  <c r="AC36" i="13"/>
  <c r="AL36" i="13" s="1"/>
  <c r="Z35" i="13"/>
  <c r="AI35" i="13" s="1"/>
  <c r="Y19" i="13"/>
  <c r="Y23" i="13" s="1"/>
  <c r="Y61" i="13"/>
  <c r="AD61" i="13" s="1"/>
  <c r="AA33" i="13"/>
  <c r="AJ33" i="13" s="1"/>
  <c r="Z74" i="13"/>
  <c r="AD74" i="13" s="1"/>
  <c r="AI23" i="13"/>
  <c r="Z47" i="13"/>
  <c r="AI47" i="13" s="1"/>
  <c r="AA48" i="13"/>
  <c r="AJ48" i="13" s="1"/>
  <c r="AB50" i="13"/>
  <c r="AK50" i="13" s="1"/>
  <c r="AA45" i="13"/>
  <c r="AD45" i="13" s="1"/>
  <c r="AA50" i="13"/>
  <c r="AJ50" i="13" s="1"/>
  <c r="AJ51" i="13" s="1"/>
  <c r="Z33" i="13"/>
  <c r="AI33" i="13" s="1"/>
  <c r="AB19" i="13"/>
  <c r="AK19" i="13" s="1"/>
  <c r="Z21" i="13"/>
  <c r="AI21" i="13" s="1"/>
  <c r="Z48" i="13"/>
  <c r="AI48" i="13" s="1"/>
  <c r="AA79" i="13"/>
  <c r="AJ79" i="13" s="1"/>
  <c r="AC18" i="13"/>
  <c r="AL18" i="13" s="1"/>
  <c r="AI80" i="13"/>
  <c r="AH8" i="13"/>
  <c r="AL66" i="13"/>
  <c r="AD22" i="13"/>
  <c r="AH22" i="13"/>
  <c r="AM22" i="13" s="1"/>
  <c r="AD75" i="13"/>
  <c r="AH75" i="13"/>
  <c r="AD18" i="13"/>
  <c r="AH18" i="13"/>
  <c r="AD78" i="13"/>
  <c r="AH78" i="13"/>
  <c r="AM78" i="13" s="1"/>
  <c r="AM61" i="13"/>
  <c r="AH76" i="13"/>
  <c r="AH5" i="13"/>
  <c r="AD46" i="13"/>
  <c r="AH46" i="13"/>
  <c r="AC7" i="13"/>
  <c r="AL7" i="13" s="1"/>
  <c r="AA3" i="13"/>
  <c r="AA7" i="13"/>
  <c r="AJ7" i="13" s="1"/>
  <c r="AA4" i="13"/>
  <c r="AJ4" i="13" s="1"/>
  <c r="AC3" i="13"/>
  <c r="AC6" i="13"/>
  <c r="AL6" i="13" s="1"/>
  <c r="AA6" i="13"/>
  <c r="AJ6" i="13" s="1"/>
  <c r="Y4" i="13"/>
  <c r="Y7" i="13"/>
  <c r="Z7" i="13"/>
  <c r="AI7" i="13" s="1"/>
  <c r="Z6" i="13"/>
  <c r="AI6" i="13" s="1"/>
  <c r="Y6" i="13"/>
  <c r="AC4" i="13"/>
  <c r="AL4" i="13" s="1"/>
  <c r="Z4" i="13"/>
  <c r="AI4" i="13" s="1"/>
  <c r="Y3" i="13"/>
  <c r="AC5" i="13"/>
  <c r="AL5" i="13" s="1"/>
  <c r="AA23" i="13"/>
  <c r="AB51" i="13"/>
  <c r="AB23" i="13"/>
  <c r="AB6" i="13"/>
  <c r="AK6" i="13" s="1"/>
  <c r="AH32" i="13"/>
  <c r="AB4" i="13"/>
  <c r="AK4" i="13" s="1"/>
  <c r="AH35" i="13"/>
  <c r="AH20" i="13"/>
  <c r="AB7" i="13"/>
  <c r="AK7" i="13" s="1"/>
  <c r="AH77" i="13"/>
  <c r="AA34" i="13"/>
  <c r="AJ34" i="13" s="1"/>
  <c r="AJ37" i="13" s="1"/>
  <c r="Z34" i="13"/>
  <c r="AI34" i="13" s="1"/>
  <c r="AC34" i="13"/>
  <c r="AL34" i="13" s="1"/>
  <c r="Z32" i="13"/>
  <c r="AI32" i="13" s="1"/>
  <c r="AB3" i="13"/>
  <c r="AB32" i="13"/>
  <c r="AK32" i="13" s="1"/>
  <c r="Z31" i="13"/>
  <c r="AD79" i="13"/>
  <c r="AH19" i="13"/>
  <c r="AM19" i="13" s="1"/>
  <c r="Y80" i="13"/>
  <c r="AB33" i="13"/>
  <c r="AK33" i="13" s="1"/>
  <c r="Y66" i="13"/>
  <c r="AA31" i="13"/>
  <c r="Y33" i="13"/>
  <c r="Z36" i="13"/>
  <c r="AI36" i="13" s="1"/>
  <c r="AC33" i="13"/>
  <c r="AL33" i="13" s="1"/>
  <c r="Y34" i="13"/>
  <c r="AH79" i="13"/>
  <c r="AM79" i="13" s="1"/>
  <c r="AB35" i="13"/>
  <c r="AK35" i="13" s="1"/>
  <c r="Z3" i="13"/>
  <c r="Y36" i="13"/>
  <c r="AA8" i="13"/>
  <c r="AJ8" i="13" s="1"/>
  <c r="AC35" i="13"/>
  <c r="AL35" i="13" s="1"/>
  <c r="AC76" i="13"/>
  <c r="AL76" i="13" s="1"/>
  <c r="AB76" i="13"/>
  <c r="AK76" i="13" s="1"/>
  <c r="AB77" i="13"/>
  <c r="AK77" i="13" s="1"/>
  <c r="AA76" i="13"/>
  <c r="AJ76" i="13" s="1"/>
  <c r="AJ80" i="13" s="1"/>
  <c r="AC77" i="13"/>
  <c r="AL77" i="13" s="1"/>
  <c r="Y49" i="13"/>
  <c r="AB49" i="13"/>
  <c r="AK49" i="13" s="1"/>
  <c r="AK51" i="13" s="1"/>
  <c r="Y50" i="13"/>
  <c r="Y47" i="13"/>
  <c r="Z49" i="13"/>
  <c r="AI49" i="13" s="1"/>
  <c r="AB64" i="13"/>
  <c r="AK64" i="13" s="1"/>
  <c r="AA60" i="13"/>
  <c r="AD60" i="13" s="1"/>
  <c r="Z65" i="13"/>
  <c r="AI65" i="13" s="1"/>
  <c r="AM65" i="13" s="1"/>
  <c r="AB62" i="13"/>
  <c r="AK62" i="13" s="1"/>
  <c r="AA65" i="13"/>
  <c r="AJ65" i="13" s="1"/>
  <c r="AA63" i="13"/>
  <c r="AJ63" i="13" s="1"/>
  <c r="AA62" i="13"/>
  <c r="AJ62" i="13" s="1"/>
  <c r="AJ66" i="13" s="1"/>
  <c r="Z62" i="13"/>
  <c r="AI62" i="13" s="1"/>
  <c r="AB65" i="13"/>
  <c r="AK65" i="13" s="1"/>
  <c r="AB63" i="13"/>
  <c r="AK63" i="13" s="1"/>
  <c r="Z63" i="13"/>
  <c r="AI63" i="13" s="1"/>
  <c r="AC60" i="13"/>
  <c r="AC66" i="13" s="1"/>
  <c r="AB60" i="13"/>
  <c r="AA64" i="13"/>
  <c r="AJ64" i="13" s="1"/>
  <c r="AM64" i="13" s="1"/>
  <c r="AM46" i="15" l="1"/>
  <c r="AD45" i="15"/>
  <c r="AH45" i="15"/>
  <c r="AD46" i="15"/>
  <c r="AM47" i="15"/>
  <c r="AK73" i="15"/>
  <c r="AK59" i="15"/>
  <c r="AD47" i="15"/>
  <c r="AI45" i="15"/>
  <c r="AL73" i="15"/>
  <c r="AD59" i="15"/>
  <c r="AD73" i="15"/>
  <c r="AH73" i="15"/>
  <c r="AJ59" i="15"/>
  <c r="AI73" i="15"/>
  <c r="AM60" i="15"/>
  <c r="AJ45" i="15"/>
  <c r="AI59" i="15"/>
  <c r="AJ73" i="15"/>
  <c r="AD75" i="15"/>
  <c r="AH75" i="15"/>
  <c r="AM75" i="15" s="1"/>
  <c r="AL59" i="15"/>
  <c r="AD74" i="15"/>
  <c r="AH74" i="15"/>
  <c r="AM74" i="15" s="1"/>
  <c r="AM60" i="14"/>
  <c r="AL7" i="14"/>
  <c r="AA7" i="14"/>
  <c r="AB7" i="14"/>
  <c r="AD6" i="14"/>
  <c r="AH6" i="14"/>
  <c r="AM6" i="14" s="1"/>
  <c r="AC7" i="14"/>
  <c r="AI4" i="14"/>
  <c r="Y7" i="14"/>
  <c r="AD3" i="14"/>
  <c r="AD7" i="14" s="1"/>
  <c r="AD32" i="14"/>
  <c r="AH32" i="14"/>
  <c r="AM32" i="14" s="1"/>
  <c r="AD73" i="14"/>
  <c r="AH73" i="14"/>
  <c r="AD31" i="14"/>
  <c r="AH31" i="14"/>
  <c r="AJ45" i="14"/>
  <c r="AI3" i="14"/>
  <c r="AI7" i="14" s="1"/>
  <c r="AJ3" i="14"/>
  <c r="AJ7" i="14" s="1"/>
  <c r="AD75" i="14"/>
  <c r="AH75" i="14"/>
  <c r="AM75" i="14" s="1"/>
  <c r="AJ31" i="14"/>
  <c r="AJ73" i="14"/>
  <c r="AM61" i="14"/>
  <c r="AD45" i="14"/>
  <c r="AH45" i="14"/>
  <c r="AI45" i="14"/>
  <c r="AD5" i="14"/>
  <c r="AH5" i="14"/>
  <c r="AM5" i="14" s="1"/>
  <c r="AD60" i="14"/>
  <c r="AD4" i="14"/>
  <c r="AH4" i="14"/>
  <c r="AK3" i="14"/>
  <c r="AK7" i="14" s="1"/>
  <c r="AI73" i="14"/>
  <c r="AL31" i="14"/>
  <c r="AL73" i="14"/>
  <c r="AD74" i="14"/>
  <c r="AH74" i="14"/>
  <c r="AM74" i="14" s="1"/>
  <c r="AH47" i="14"/>
  <c r="AM47" i="14" s="1"/>
  <c r="AD47" i="14"/>
  <c r="AK73" i="14"/>
  <c r="AK31" i="14"/>
  <c r="AL45" i="14"/>
  <c r="AD59" i="14"/>
  <c r="AI31" i="14"/>
  <c r="AD46" i="14"/>
  <c r="AH46" i="14"/>
  <c r="AM46" i="14" s="1"/>
  <c r="AD61" i="14"/>
  <c r="AD33" i="14"/>
  <c r="AH33" i="14"/>
  <c r="AM33" i="14" s="1"/>
  <c r="AA80" i="13"/>
  <c r="AA51" i="13"/>
  <c r="AB80" i="13"/>
  <c r="AD17" i="13"/>
  <c r="AD65" i="13"/>
  <c r="AC80" i="13"/>
  <c r="AD48" i="13"/>
  <c r="Z80" i="13"/>
  <c r="AD80" i="13" s="1"/>
  <c r="AD20" i="13"/>
  <c r="AD8" i="13"/>
  <c r="AL37" i="13"/>
  <c r="AD19" i="13"/>
  <c r="AB66" i="13"/>
  <c r="AK66" i="13"/>
  <c r="AM20" i="13"/>
  <c r="AJ9" i="13"/>
  <c r="AI51" i="13"/>
  <c r="Z51" i="13"/>
  <c r="AI9" i="13"/>
  <c r="AM8" i="13"/>
  <c r="AD21" i="13"/>
  <c r="AC51" i="13"/>
  <c r="AK37" i="13"/>
  <c r="AL23" i="13"/>
  <c r="AM62" i="13"/>
  <c r="Z9" i="13"/>
  <c r="AA37" i="13"/>
  <c r="AC23" i="13"/>
  <c r="AD23" i="13" s="1"/>
  <c r="AM76" i="13"/>
  <c r="AK80" i="13"/>
  <c r="AL80" i="13"/>
  <c r="AM32" i="13"/>
  <c r="AB9" i="13"/>
  <c r="AA9" i="13"/>
  <c r="AD76" i="13"/>
  <c r="AI37" i="13"/>
  <c r="AD35" i="13"/>
  <c r="AL9" i="13"/>
  <c r="AQ77" i="13"/>
  <c r="AH80" i="13"/>
  <c r="AM75" i="13"/>
  <c r="AD34" i="13"/>
  <c r="AH34" i="13"/>
  <c r="AM34" i="13" s="1"/>
  <c r="AM35" i="13"/>
  <c r="AD6" i="13"/>
  <c r="AH6" i="13"/>
  <c r="AM6" i="13" s="1"/>
  <c r="AQ63" i="13"/>
  <c r="AD49" i="13"/>
  <c r="AH49" i="13"/>
  <c r="AM49" i="13" s="1"/>
  <c r="AD62" i="13"/>
  <c r="AM5" i="13"/>
  <c r="AD32" i="13"/>
  <c r="AD3" i="13"/>
  <c r="Y9" i="13"/>
  <c r="AH23" i="13"/>
  <c r="AM18" i="13"/>
  <c r="AQ20" i="13"/>
  <c r="AM46" i="13"/>
  <c r="AA66" i="13"/>
  <c r="AC37" i="13"/>
  <c r="AM77" i="13"/>
  <c r="AD63" i="13"/>
  <c r="AD7" i="13"/>
  <c r="AH7" i="13"/>
  <c r="AM7" i="13" s="1"/>
  <c r="AD77" i="13"/>
  <c r="AK9" i="13"/>
  <c r="AD4" i="13"/>
  <c r="AH4" i="13"/>
  <c r="AD47" i="13"/>
  <c r="AH47" i="13"/>
  <c r="AM47" i="13" s="1"/>
  <c r="AH50" i="13"/>
  <c r="AM50" i="13" s="1"/>
  <c r="AD50" i="13"/>
  <c r="AD31" i="13"/>
  <c r="AB37" i="13"/>
  <c r="AI66" i="13"/>
  <c r="AM66" i="13" s="1"/>
  <c r="AM63" i="13"/>
  <c r="Y37" i="13"/>
  <c r="AD36" i="13"/>
  <c r="AH36" i="13"/>
  <c r="AM36" i="13" s="1"/>
  <c r="AD33" i="13"/>
  <c r="AH33" i="13"/>
  <c r="AM33" i="13" s="1"/>
  <c r="Z37" i="13"/>
  <c r="AD64" i="13"/>
  <c r="AC9" i="13"/>
  <c r="AD5" i="13"/>
  <c r="Y51" i="13"/>
  <c r="Z66" i="13"/>
  <c r="O28" i="5" a="1"/>
  <c r="O30" i="5" s="1"/>
  <c r="AD76" i="15" l="1"/>
  <c r="AM73" i="15"/>
  <c r="AM59" i="15"/>
  <c r="AM45" i="15"/>
  <c r="AM4" i="14"/>
  <c r="AQ5" i="14"/>
  <c r="AH7" i="14"/>
  <c r="AQ11" i="14"/>
  <c r="AM31" i="14"/>
  <c r="AM45" i="14"/>
  <c r="AM73" i="14"/>
  <c r="AM59" i="14"/>
  <c r="AM63" i="14" s="1"/>
  <c r="AM3" i="14"/>
  <c r="AM7" i="14" s="1"/>
  <c r="AM23" i="13"/>
  <c r="AD66" i="13"/>
  <c r="AD51" i="13"/>
  <c r="AM80" i="13"/>
  <c r="AD9" i="13"/>
  <c r="AQ81" i="13"/>
  <c r="AQ79" i="13"/>
  <c r="AQ65" i="13"/>
  <c r="AQ67" i="13"/>
  <c r="AM4" i="13"/>
  <c r="AH9" i="13"/>
  <c r="AM9" i="13" s="1"/>
  <c r="AQ5" i="13"/>
  <c r="AQ48" i="13"/>
  <c r="AQ25" i="13"/>
  <c r="AQ22" i="13"/>
  <c r="AH51" i="13"/>
  <c r="AM51" i="13" s="1"/>
  <c r="AQ34" i="13"/>
  <c r="AH37" i="13"/>
  <c r="AM37" i="13" s="1"/>
  <c r="O28" i="5"/>
  <c r="O29" i="5"/>
  <c r="H3" i="4" a="1"/>
  <c r="H5" i="4" s="1"/>
  <c r="AQ61" i="15" l="1"/>
  <c r="AQ63" i="15"/>
  <c r="AQ47" i="15"/>
  <c r="AQ49" i="15"/>
  <c r="AQ77" i="15"/>
  <c r="AQ75" i="15"/>
  <c r="AQ7" i="14"/>
  <c r="AQ63" i="14"/>
  <c r="AQ61" i="14"/>
  <c r="AQ47" i="14"/>
  <c r="AQ49" i="14"/>
  <c r="AQ33" i="14"/>
  <c r="AQ35" i="14"/>
  <c r="AQ77" i="14"/>
  <c r="AQ75" i="14"/>
  <c r="AQ38" i="13"/>
  <c r="AQ36" i="13"/>
  <c r="AQ50" i="13"/>
  <c r="AQ52" i="13"/>
  <c r="AQ7" i="13"/>
  <c r="AQ13" i="13"/>
  <c r="H3" i="4"/>
  <c r="H4" i="4"/>
  <c r="AQ72" i="10"/>
  <c r="P76" i="10"/>
  <c r="T75" i="10"/>
  <c r="S75" i="10"/>
  <c r="R75" i="10"/>
  <c r="Q75" i="10"/>
  <c r="P75" i="10"/>
  <c r="T74" i="10"/>
  <c r="R74" i="10"/>
  <c r="Q74" i="10"/>
  <c r="Q76" i="10" s="1"/>
  <c r="S74" i="10"/>
  <c r="P74" i="10"/>
  <c r="T73" i="10"/>
  <c r="T76" i="10" s="1"/>
  <c r="S73" i="10"/>
  <c r="S76" i="10" s="1"/>
  <c r="R73" i="10"/>
  <c r="R76" i="10" s="1"/>
  <c r="Q73" i="10"/>
  <c r="P73" i="10"/>
  <c r="AQ58" i="10"/>
  <c r="T61" i="10"/>
  <c r="S61" i="10"/>
  <c r="R61" i="10"/>
  <c r="Q61" i="10"/>
  <c r="P61" i="10"/>
  <c r="P60" i="10"/>
  <c r="T60" i="10"/>
  <c r="S60" i="10"/>
  <c r="R60" i="10"/>
  <c r="Q60" i="10"/>
  <c r="T59" i="10"/>
  <c r="S59" i="10"/>
  <c r="R59" i="10"/>
  <c r="Q59" i="10"/>
  <c r="Q62" i="10" s="1"/>
  <c r="P59" i="10"/>
  <c r="P62" i="10" s="1"/>
  <c r="AQ44" i="10"/>
  <c r="T47" i="10"/>
  <c r="S47" i="10"/>
  <c r="R47" i="10"/>
  <c r="Q47" i="10"/>
  <c r="P47" i="10"/>
  <c r="U47" i="10" s="1"/>
  <c r="T46" i="10"/>
  <c r="S46" i="10"/>
  <c r="S48" i="10" s="1"/>
  <c r="R46" i="10"/>
  <c r="Q46" i="10"/>
  <c r="P46" i="10"/>
  <c r="T45" i="10"/>
  <c r="S45" i="10"/>
  <c r="R45" i="10"/>
  <c r="Q45" i="10"/>
  <c r="P45" i="10"/>
  <c r="AQ30" i="10"/>
  <c r="T33" i="10"/>
  <c r="S33" i="10"/>
  <c r="R33" i="10"/>
  <c r="Q33" i="10"/>
  <c r="P33" i="10"/>
  <c r="T32" i="10"/>
  <c r="S32" i="10"/>
  <c r="R32" i="10"/>
  <c r="Q32" i="10"/>
  <c r="P32" i="10"/>
  <c r="T31" i="10"/>
  <c r="S31" i="10"/>
  <c r="R31" i="10"/>
  <c r="Q31" i="10"/>
  <c r="P31" i="10"/>
  <c r="P17" i="10"/>
  <c r="AQ16" i="10"/>
  <c r="Q17" i="10"/>
  <c r="R17" i="10"/>
  <c r="S17" i="10"/>
  <c r="T17" i="10"/>
  <c r="P18" i="10"/>
  <c r="Q18" i="10"/>
  <c r="R18" i="10"/>
  <c r="S18" i="10"/>
  <c r="T18" i="10"/>
  <c r="U18" i="10"/>
  <c r="P19" i="10"/>
  <c r="U19" i="10" s="1"/>
  <c r="Q19" i="10"/>
  <c r="R19" i="10"/>
  <c r="S19" i="10"/>
  <c r="T19" i="10"/>
  <c r="Q3" i="10"/>
  <c r="R3" i="10"/>
  <c r="S3" i="10"/>
  <c r="T3" i="10"/>
  <c r="P4" i="10"/>
  <c r="Q4" i="10"/>
  <c r="R4" i="10"/>
  <c r="S4" i="10"/>
  <c r="T4" i="10"/>
  <c r="P5" i="10"/>
  <c r="Q5" i="10"/>
  <c r="R5" i="10"/>
  <c r="S5" i="10"/>
  <c r="T5" i="10"/>
  <c r="AQ4" i="10"/>
  <c r="P3" i="10"/>
  <c r="AH61" i="10"/>
  <c r="AH62" i="10" s="1"/>
  <c r="AQ72" i="9"/>
  <c r="AQ58" i="9"/>
  <c r="AH61" i="9"/>
  <c r="AQ30" i="9"/>
  <c r="T32" i="9"/>
  <c r="AQ16" i="9"/>
  <c r="R48" i="10" l="1"/>
  <c r="T48" i="10"/>
  <c r="U17" i="10"/>
  <c r="S62" i="10"/>
  <c r="R20" i="10"/>
  <c r="U75" i="10"/>
  <c r="R62" i="10"/>
  <c r="T20" i="10"/>
  <c r="T62" i="10"/>
  <c r="S20" i="10"/>
  <c r="Q20" i="10"/>
  <c r="P48" i="10"/>
  <c r="Q48" i="10"/>
  <c r="U61" i="10"/>
  <c r="U46" i="10"/>
  <c r="U33" i="10"/>
  <c r="Q34" i="10"/>
  <c r="R34" i="10"/>
  <c r="S34" i="10"/>
  <c r="U32" i="10"/>
  <c r="P34" i="10"/>
  <c r="U31" i="10"/>
  <c r="T34" i="10"/>
  <c r="U20" i="10"/>
  <c r="P20" i="10"/>
  <c r="P6" i="10"/>
  <c r="T6" i="10"/>
  <c r="S6" i="10"/>
  <c r="Q6" i="10"/>
  <c r="R6" i="10"/>
  <c r="U5" i="10"/>
  <c r="U4" i="10"/>
  <c r="U74" i="10"/>
  <c r="U60" i="10"/>
  <c r="U3" i="10"/>
  <c r="U45" i="10"/>
  <c r="U48" i="10" s="1"/>
  <c r="U59" i="10"/>
  <c r="U73" i="10"/>
  <c r="AQ4" i="9"/>
  <c r="AB47" i="10" l="1"/>
  <c r="AK47" i="10" s="1"/>
  <c r="AA47" i="10"/>
  <c r="AJ47" i="10" s="1"/>
  <c r="Y47" i="10"/>
  <c r="AC47" i="10"/>
  <c r="AL47" i="10" s="1"/>
  <c r="Z47" i="10"/>
  <c r="AI47" i="10" s="1"/>
  <c r="AB75" i="10"/>
  <c r="AK75" i="10" s="1"/>
  <c r="Y75" i="10"/>
  <c r="AC75" i="10"/>
  <c r="AL75" i="10" s="1"/>
  <c r="Z75" i="10"/>
  <c r="AI75" i="10" s="1"/>
  <c r="AB74" i="10"/>
  <c r="AC74" i="10"/>
  <c r="U76" i="10"/>
  <c r="Y74" i="10" s="1"/>
  <c r="Z73" i="10"/>
  <c r="AA73" i="10"/>
  <c r="AB73" i="10"/>
  <c r="Y60" i="10"/>
  <c r="Z60" i="10"/>
  <c r="AA60" i="10"/>
  <c r="Y32" i="10"/>
  <c r="AC32" i="10"/>
  <c r="AL32" i="10" s="1"/>
  <c r="AH47" i="10"/>
  <c r="AM47" i="10" s="1"/>
  <c r="U62" i="10"/>
  <c r="AB60" i="10" s="1"/>
  <c r="Z59" i="10"/>
  <c r="AA59" i="10"/>
  <c r="Y33" i="10"/>
  <c r="Z45" i="10"/>
  <c r="AC45" i="10"/>
  <c r="AA45" i="10"/>
  <c r="Y45" i="10"/>
  <c r="AB45" i="10"/>
  <c r="Z46" i="10"/>
  <c r="AA46" i="10"/>
  <c r="AB46" i="10"/>
  <c r="AC46" i="10"/>
  <c r="Y46" i="10"/>
  <c r="U34" i="10"/>
  <c r="Z31" i="10" s="1"/>
  <c r="Y19" i="10"/>
  <c r="Y18" i="10"/>
  <c r="AH18" i="10" s="1"/>
  <c r="Y17" i="10"/>
  <c r="AC19" i="10"/>
  <c r="AL19" i="10" s="1"/>
  <c r="Z18" i="10"/>
  <c r="AI18" i="10" s="1"/>
  <c r="AA18" i="10"/>
  <c r="AJ18" i="10" s="1"/>
  <c r="AB18" i="10"/>
  <c r="AK18" i="10" s="1"/>
  <c r="AC18" i="10"/>
  <c r="AL18" i="10" s="1"/>
  <c r="Z17" i="10"/>
  <c r="AA17" i="10"/>
  <c r="Z19" i="10"/>
  <c r="AI19" i="10" s="1"/>
  <c r="AB17" i="10"/>
  <c r="AA19" i="10"/>
  <c r="AJ19" i="10" s="1"/>
  <c r="AC17" i="10"/>
  <c r="AB19" i="10"/>
  <c r="AK19" i="10" s="1"/>
  <c r="AH32" i="10"/>
  <c r="U6" i="10"/>
  <c r="AC3" i="10" s="1"/>
  <c r="R75" i="9"/>
  <c r="S75" i="9"/>
  <c r="T75" i="9"/>
  <c r="T73" i="9"/>
  <c r="S73" i="9"/>
  <c r="R73" i="9"/>
  <c r="Q73" i="9"/>
  <c r="T74" i="9"/>
  <c r="S74" i="9"/>
  <c r="R74" i="9"/>
  <c r="Q74" i="9"/>
  <c r="Q75" i="9" s="1"/>
  <c r="P74" i="9"/>
  <c r="P73" i="9"/>
  <c r="Q61" i="9"/>
  <c r="P61" i="9"/>
  <c r="T59" i="9"/>
  <c r="T61" i="9" s="1"/>
  <c r="S59" i="9"/>
  <c r="R59" i="9"/>
  <c r="Q59" i="9"/>
  <c r="T60" i="9"/>
  <c r="S60" i="9"/>
  <c r="R60" i="9"/>
  <c r="Q60" i="9"/>
  <c r="P60" i="9"/>
  <c r="P59" i="9"/>
  <c r="R47" i="9"/>
  <c r="S47" i="9"/>
  <c r="T47" i="9"/>
  <c r="T45" i="9"/>
  <c r="S45" i="9"/>
  <c r="R45" i="9"/>
  <c r="Q45" i="9"/>
  <c r="T46" i="9"/>
  <c r="S46" i="9"/>
  <c r="R46" i="9"/>
  <c r="Q46" i="9"/>
  <c r="Q47" i="9" s="1"/>
  <c r="P46" i="9"/>
  <c r="P45" i="9"/>
  <c r="T31" i="9"/>
  <c r="S31" i="9"/>
  <c r="R31" i="9"/>
  <c r="Q31" i="9"/>
  <c r="S32" i="9"/>
  <c r="R32" i="9"/>
  <c r="Q32" i="9"/>
  <c r="P32" i="9"/>
  <c r="U32" i="9" s="1"/>
  <c r="P31" i="9"/>
  <c r="P33" i="9" s="1"/>
  <c r="S19" i="9"/>
  <c r="T19" i="9"/>
  <c r="P19" i="9"/>
  <c r="Q18" i="9"/>
  <c r="R18" i="9"/>
  <c r="S18" i="9"/>
  <c r="T18" i="9"/>
  <c r="P18" i="9"/>
  <c r="T17" i="9"/>
  <c r="S17" i="9"/>
  <c r="R17" i="9"/>
  <c r="Q17" i="9"/>
  <c r="P17" i="9"/>
  <c r="AB32" i="10" l="1"/>
  <c r="AK32" i="10" s="1"/>
  <c r="Y73" i="10"/>
  <c r="Y76" i="10" s="1"/>
  <c r="AA61" i="10"/>
  <c r="AB33" i="10"/>
  <c r="AK33" i="10" s="1"/>
  <c r="AA32" i="10"/>
  <c r="AC73" i="10"/>
  <c r="T33" i="9"/>
  <c r="AH75" i="10"/>
  <c r="AM75" i="10" s="1"/>
  <c r="AD75" i="10"/>
  <c r="Z61" i="10"/>
  <c r="AI61" i="10" s="1"/>
  <c r="AA33" i="10"/>
  <c r="AJ33" i="10" s="1"/>
  <c r="Z32" i="10"/>
  <c r="AI32" i="10" s="1"/>
  <c r="AA74" i="10"/>
  <c r="AA76" i="10" s="1"/>
  <c r="AD47" i="10"/>
  <c r="AB76" i="10"/>
  <c r="S33" i="9"/>
  <c r="S61" i="9"/>
  <c r="Z33" i="10"/>
  <c r="AI33" i="10" s="1"/>
  <c r="Y31" i="10"/>
  <c r="Y34" i="10" s="1"/>
  <c r="Z74" i="10"/>
  <c r="U31" i="9"/>
  <c r="R19" i="9"/>
  <c r="AA75" i="10"/>
  <c r="AJ75" i="10" s="1"/>
  <c r="Q19" i="9"/>
  <c r="R33" i="9"/>
  <c r="Q33" i="9"/>
  <c r="P47" i="9"/>
  <c r="R61" i="9"/>
  <c r="P75" i="9"/>
  <c r="AC33" i="10"/>
  <c r="AL33" i="10" s="1"/>
  <c r="AC31" i="10"/>
  <c r="AL31" i="10" s="1"/>
  <c r="AL34" i="10" s="1"/>
  <c r="AJ73" i="10"/>
  <c r="AH73" i="10"/>
  <c r="AH33" i="10"/>
  <c r="Z62" i="10"/>
  <c r="AB48" i="10"/>
  <c r="AB31" i="10"/>
  <c r="Y48" i="10"/>
  <c r="Y59" i="10"/>
  <c r="AA31" i="10"/>
  <c r="Y61" i="10"/>
  <c r="AA48" i="10"/>
  <c r="AC59" i="10"/>
  <c r="AC61" i="10"/>
  <c r="AL61" i="10" s="1"/>
  <c r="AC48" i="10"/>
  <c r="AB59" i="10"/>
  <c r="AC60" i="10"/>
  <c r="AL60" i="10" s="1"/>
  <c r="AB61" i="10"/>
  <c r="AK61" i="10" s="1"/>
  <c r="Z48" i="10"/>
  <c r="AH31" i="10"/>
  <c r="AB20" i="10"/>
  <c r="AK17" i="10"/>
  <c r="AK20" i="10" s="1"/>
  <c r="AJ17" i="10"/>
  <c r="AJ20" i="10" s="1"/>
  <c r="AA20" i="10"/>
  <c r="AI17" i="10"/>
  <c r="AI20" i="10" s="1"/>
  <c r="Z20" i="10"/>
  <c r="AH17" i="10"/>
  <c r="Y20" i="10"/>
  <c r="AC20" i="10"/>
  <c r="AL17" i="10"/>
  <c r="AL20" i="10" s="1"/>
  <c r="AD19" i="10"/>
  <c r="AH19" i="10"/>
  <c r="AM19" i="10" s="1"/>
  <c r="AK60" i="10"/>
  <c r="AI60" i="10"/>
  <c r="AH46" i="10"/>
  <c r="AI46" i="10"/>
  <c r="AA3" i="10"/>
  <c r="AJ3" i="10" s="1"/>
  <c r="AB5" i="10"/>
  <c r="AK5" i="10" s="1"/>
  <c r="AC5" i="10"/>
  <c r="AL5" i="10" s="1"/>
  <c r="AA5" i="10"/>
  <c r="AJ5" i="10" s="1"/>
  <c r="Z5" i="10"/>
  <c r="AI5" i="10" s="1"/>
  <c r="AB3" i="10"/>
  <c r="AK3" i="10" s="1"/>
  <c r="Z3" i="10"/>
  <c r="Y5" i="10"/>
  <c r="AH5" i="10" s="1"/>
  <c r="AB4" i="10"/>
  <c r="AK4" i="10" s="1"/>
  <c r="AA4" i="10"/>
  <c r="AJ4" i="10" s="1"/>
  <c r="Z4" i="10"/>
  <c r="AI4" i="10" s="1"/>
  <c r="Y4" i="10"/>
  <c r="AH4" i="10" s="1"/>
  <c r="AC4" i="10"/>
  <c r="AL4" i="10" s="1"/>
  <c r="Y3" i="10"/>
  <c r="AH3" i="10" s="1"/>
  <c r="AK73" i="10"/>
  <c r="AK76" i="10" s="1"/>
  <c r="AK45" i="10"/>
  <c r="AK48" i="10" s="1"/>
  <c r="AI3" i="10"/>
  <c r="AL45" i="10"/>
  <c r="AL3" i="10"/>
  <c r="AM18" i="10"/>
  <c r="AD18" i="10"/>
  <c r="AI31" i="10"/>
  <c r="AJ74" i="10"/>
  <c r="AD17" i="10"/>
  <c r="AH45" i="10"/>
  <c r="AK74" i="10"/>
  <c r="AJ60" i="10"/>
  <c r="AJ46" i="10"/>
  <c r="AK46" i="10"/>
  <c r="AL46" i="10"/>
  <c r="AL74" i="10"/>
  <c r="T4" i="9"/>
  <c r="S4" i="9"/>
  <c r="R4" i="9"/>
  <c r="Q4" i="9"/>
  <c r="P4" i="9"/>
  <c r="T3" i="9"/>
  <c r="S3" i="9"/>
  <c r="R3" i="9"/>
  <c r="Q3" i="9"/>
  <c r="P3" i="9"/>
  <c r="AQ44" i="9"/>
  <c r="AM74" i="7"/>
  <c r="AQ76" i="7"/>
  <c r="AQ62" i="7"/>
  <c r="AM60" i="7"/>
  <c r="AQ47" i="7"/>
  <c r="AM45" i="7"/>
  <c r="AQ33" i="7"/>
  <c r="AM31" i="7"/>
  <c r="AM17" i="7"/>
  <c r="AQ19" i="7"/>
  <c r="AQ4" i="7"/>
  <c r="Z76" i="10" l="1"/>
  <c r="AI74" i="10"/>
  <c r="AC76" i="10"/>
  <c r="AL73" i="10"/>
  <c r="AL76" i="10" s="1"/>
  <c r="AJ32" i="10"/>
  <c r="AM32" i="10" s="1"/>
  <c r="AD32" i="10"/>
  <c r="AC34" i="10"/>
  <c r="AJ61" i="10"/>
  <c r="AM61" i="10" s="1"/>
  <c r="AA62" i="10"/>
  <c r="AK62" i="10"/>
  <c r="U4" i="9"/>
  <c r="AQ5" i="10"/>
  <c r="T5" i="9"/>
  <c r="AI62" i="10"/>
  <c r="AJ76" i="10"/>
  <c r="AI34" i="10"/>
  <c r="P5" i="9"/>
  <c r="AD33" i="10"/>
  <c r="AD34" i="10" s="1"/>
  <c r="Z34" i="10"/>
  <c r="R5" i="9"/>
  <c r="AM5" i="10"/>
  <c r="AD61" i="10"/>
  <c r="AD76" i="10"/>
  <c r="Q5" i="9"/>
  <c r="S5" i="9"/>
  <c r="AL48" i="10"/>
  <c r="AD31" i="10"/>
  <c r="AH48" i="10"/>
  <c r="Y62" i="10"/>
  <c r="AD20" i="10"/>
  <c r="AB34" i="10"/>
  <c r="AK31" i="10"/>
  <c r="AK34" i="10" s="1"/>
  <c r="AH34" i="10"/>
  <c r="AB62" i="10"/>
  <c r="AC62" i="10"/>
  <c r="AA34" i="10"/>
  <c r="AJ31" i="10"/>
  <c r="AJ34" i="10" s="1"/>
  <c r="AM33" i="10"/>
  <c r="AQ17" i="10"/>
  <c r="AQ19" i="10" s="1"/>
  <c r="AH20" i="10"/>
  <c r="AM60" i="10"/>
  <c r="AL62" i="10"/>
  <c r="AC6" i="10"/>
  <c r="AM4" i="10"/>
  <c r="AI6" i="10"/>
  <c r="AD3" i="10"/>
  <c r="AL6" i="10"/>
  <c r="AD4" i="10"/>
  <c r="AA6" i="10"/>
  <c r="Z6" i="10"/>
  <c r="AB6" i="10"/>
  <c r="Y6" i="10"/>
  <c r="AK6" i="10"/>
  <c r="AJ6" i="10"/>
  <c r="AQ7" i="10"/>
  <c r="AH6" i="10"/>
  <c r="AJ45" i="10"/>
  <c r="AJ48" i="10" s="1"/>
  <c r="AD46" i="10"/>
  <c r="AM17" i="10"/>
  <c r="AI73" i="10"/>
  <c r="AI76" i="10" s="1"/>
  <c r="AM46" i="10"/>
  <c r="AI45" i="10"/>
  <c r="AI48" i="10" s="1"/>
  <c r="AD74" i="10"/>
  <c r="AH74" i="10"/>
  <c r="AM74" i="10" s="1"/>
  <c r="AM3" i="10"/>
  <c r="AD60" i="10"/>
  <c r="AD59" i="10"/>
  <c r="AD62" i="10" s="1"/>
  <c r="AD73" i="10"/>
  <c r="AD45" i="10"/>
  <c r="AD48" i="10" s="1"/>
  <c r="AD5" i="10"/>
  <c r="U73" i="9"/>
  <c r="U3" i="9"/>
  <c r="U17" i="9"/>
  <c r="U45" i="9"/>
  <c r="U46" i="9"/>
  <c r="U59" i="9"/>
  <c r="U18" i="9"/>
  <c r="U74" i="9"/>
  <c r="U60" i="9"/>
  <c r="AH66" i="7"/>
  <c r="AM3" i="7"/>
  <c r="R50" i="7"/>
  <c r="R24" i="8"/>
  <c r="Q24" i="8"/>
  <c r="R23" i="8"/>
  <c r="Q23" i="8"/>
  <c r="R22" i="8"/>
  <c r="Q22" i="8"/>
  <c r="R21" i="8"/>
  <c r="Q21" i="8"/>
  <c r="U24" i="8"/>
  <c r="U23" i="8"/>
  <c r="U22" i="8"/>
  <c r="U21" i="8"/>
  <c r="U20" i="8"/>
  <c r="T24" i="8"/>
  <c r="T23" i="8"/>
  <c r="T22" i="8"/>
  <c r="T21" i="8"/>
  <c r="T20" i="8"/>
  <c r="S24" i="8"/>
  <c r="S23" i="8"/>
  <c r="S22" i="8"/>
  <c r="S21" i="8"/>
  <c r="S20" i="8"/>
  <c r="R20" i="8"/>
  <c r="Q20" i="8"/>
  <c r="P24" i="8"/>
  <c r="P23" i="8"/>
  <c r="P22" i="8"/>
  <c r="P21" i="8"/>
  <c r="P20" i="8"/>
  <c r="U19" i="8"/>
  <c r="T19" i="8"/>
  <c r="S19" i="8"/>
  <c r="R19" i="8"/>
  <c r="Q19" i="8"/>
  <c r="V19" i="8" s="1"/>
  <c r="P19" i="8"/>
  <c r="U8" i="8"/>
  <c r="T8" i="8"/>
  <c r="S8" i="8"/>
  <c r="R8" i="8"/>
  <c r="Q8" i="8"/>
  <c r="U7" i="8"/>
  <c r="T7" i="8"/>
  <c r="S7" i="8"/>
  <c r="R7" i="8"/>
  <c r="Q7" i="8"/>
  <c r="U6" i="8"/>
  <c r="T6" i="8"/>
  <c r="S6" i="8"/>
  <c r="R6" i="8"/>
  <c r="Q6" i="8"/>
  <c r="U5" i="8"/>
  <c r="T5" i="8"/>
  <c r="S5" i="8"/>
  <c r="R5" i="8"/>
  <c r="Q5" i="8"/>
  <c r="U4" i="8"/>
  <c r="T4" i="8"/>
  <c r="S4" i="8"/>
  <c r="R4" i="8"/>
  <c r="Q4" i="8"/>
  <c r="U3" i="8"/>
  <c r="T3" i="8"/>
  <c r="S3" i="8"/>
  <c r="R3" i="8"/>
  <c r="Q3" i="8"/>
  <c r="V3" i="8"/>
  <c r="T78" i="7"/>
  <c r="S78" i="7"/>
  <c r="R78" i="7"/>
  <c r="Q78" i="7"/>
  <c r="T77" i="7"/>
  <c r="S77" i="7"/>
  <c r="R77" i="7"/>
  <c r="Q77" i="7"/>
  <c r="T76" i="7"/>
  <c r="S76" i="7"/>
  <c r="R76" i="7"/>
  <c r="Q76" i="7"/>
  <c r="T75" i="7"/>
  <c r="S75" i="7"/>
  <c r="R75" i="7"/>
  <c r="Q75" i="7"/>
  <c r="T74" i="7"/>
  <c r="S74" i="7"/>
  <c r="R74" i="7"/>
  <c r="Q74" i="7"/>
  <c r="P78" i="7"/>
  <c r="P77" i="7"/>
  <c r="P76" i="7"/>
  <c r="P75" i="7"/>
  <c r="P74" i="7"/>
  <c r="P73" i="7"/>
  <c r="T73" i="7"/>
  <c r="S73" i="7"/>
  <c r="R73" i="7"/>
  <c r="Q73" i="7"/>
  <c r="Q64" i="7"/>
  <c r="T64" i="7"/>
  <c r="T63" i="7"/>
  <c r="T62" i="7"/>
  <c r="T61" i="7"/>
  <c r="T60" i="7"/>
  <c r="T59" i="7"/>
  <c r="S64" i="7"/>
  <c r="S63" i="7"/>
  <c r="S62" i="7"/>
  <c r="S61" i="7"/>
  <c r="S60" i="7"/>
  <c r="R64" i="7"/>
  <c r="R63" i="7"/>
  <c r="R62" i="7"/>
  <c r="R61" i="7"/>
  <c r="R60" i="7"/>
  <c r="Q63" i="7"/>
  <c r="Q62" i="7"/>
  <c r="Q61" i="7"/>
  <c r="Q60" i="7"/>
  <c r="P64" i="7"/>
  <c r="P63" i="7"/>
  <c r="P62" i="7"/>
  <c r="P61" i="7"/>
  <c r="P60" i="7"/>
  <c r="S59" i="7"/>
  <c r="R59" i="7"/>
  <c r="Q59" i="7"/>
  <c r="P59" i="7"/>
  <c r="T36" i="7"/>
  <c r="T35" i="7"/>
  <c r="T34" i="7"/>
  <c r="T33" i="7"/>
  <c r="T32" i="7"/>
  <c r="T31" i="7"/>
  <c r="T50" i="7"/>
  <c r="T49" i="7"/>
  <c r="T48" i="7"/>
  <c r="T47" i="7"/>
  <c r="T46" i="7"/>
  <c r="T45" i="7"/>
  <c r="S50" i="7"/>
  <c r="S49" i="7"/>
  <c r="S48" i="7"/>
  <c r="S47" i="7"/>
  <c r="S46" i="7"/>
  <c r="R49" i="7"/>
  <c r="R48" i="7"/>
  <c r="R47" i="7"/>
  <c r="R46" i="7"/>
  <c r="Q49" i="7"/>
  <c r="Q48" i="7"/>
  <c r="Q50" i="7"/>
  <c r="Q47" i="7"/>
  <c r="Q46" i="7"/>
  <c r="P50" i="7"/>
  <c r="P49" i="7"/>
  <c r="P48" i="7"/>
  <c r="P47" i="7"/>
  <c r="P46" i="7"/>
  <c r="S45" i="7"/>
  <c r="R45" i="7"/>
  <c r="Q45" i="7"/>
  <c r="P45" i="7"/>
  <c r="S36" i="7"/>
  <c r="S35" i="7"/>
  <c r="S34" i="7"/>
  <c r="S33" i="7"/>
  <c r="S32" i="7"/>
  <c r="R36" i="7"/>
  <c r="R35" i="7"/>
  <c r="R34" i="7"/>
  <c r="R33" i="7"/>
  <c r="R32" i="7"/>
  <c r="Q36" i="7"/>
  <c r="Q35" i="7"/>
  <c r="Q34" i="7"/>
  <c r="Q33" i="7"/>
  <c r="P36" i="7"/>
  <c r="P35" i="7"/>
  <c r="P34" i="7"/>
  <c r="P33" i="7"/>
  <c r="P32" i="7"/>
  <c r="Q32" i="7"/>
  <c r="S31" i="7"/>
  <c r="R31" i="7"/>
  <c r="Q31" i="7"/>
  <c r="P31" i="7"/>
  <c r="T22" i="7"/>
  <c r="S22" i="7"/>
  <c r="R22" i="7"/>
  <c r="Q22" i="7"/>
  <c r="P22" i="7"/>
  <c r="T21" i="7"/>
  <c r="S21" i="7"/>
  <c r="R21" i="7"/>
  <c r="Q21" i="7"/>
  <c r="P21" i="7"/>
  <c r="T20" i="7"/>
  <c r="S20" i="7"/>
  <c r="R20" i="7"/>
  <c r="Q20" i="7"/>
  <c r="P20" i="7"/>
  <c r="T19" i="7"/>
  <c r="S19" i="7"/>
  <c r="R19" i="7"/>
  <c r="Q19" i="7"/>
  <c r="P19" i="7"/>
  <c r="T18" i="7"/>
  <c r="S18" i="7"/>
  <c r="R18" i="7"/>
  <c r="Q18" i="7"/>
  <c r="T17" i="7"/>
  <c r="S17" i="7"/>
  <c r="R17" i="7"/>
  <c r="Q17" i="7"/>
  <c r="P17" i="7"/>
  <c r="P18" i="7"/>
  <c r="T8" i="7"/>
  <c r="S8" i="7"/>
  <c r="R8" i="7"/>
  <c r="Q8" i="7"/>
  <c r="T7" i="7"/>
  <c r="S7" i="7"/>
  <c r="R7" i="7"/>
  <c r="Q7" i="7"/>
  <c r="T6" i="7"/>
  <c r="S6" i="7"/>
  <c r="R6" i="7"/>
  <c r="Q6" i="7"/>
  <c r="T5" i="7"/>
  <c r="S5" i="7"/>
  <c r="R5" i="7"/>
  <c r="Q5" i="7"/>
  <c r="T4" i="7"/>
  <c r="S4" i="7"/>
  <c r="R4" i="7"/>
  <c r="Q4" i="7"/>
  <c r="R3" i="7"/>
  <c r="Q3" i="7"/>
  <c r="P8" i="7"/>
  <c r="P7" i="7"/>
  <c r="P6" i="7"/>
  <c r="P5" i="7"/>
  <c r="P4" i="7"/>
  <c r="T3" i="7"/>
  <c r="S3" i="7"/>
  <c r="P3" i="7"/>
  <c r="P8" i="8"/>
  <c r="P7" i="8"/>
  <c r="P6" i="8"/>
  <c r="P5" i="8"/>
  <c r="P4" i="8"/>
  <c r="P3" i="8"/>
  <c r="P9" i="8" s="1"/>
  <c r="U31" i="7" l="1"/>
  <c r="R65" i="7"/>
  <c r="U21" i="7"/>
  <c r="S65" i="7"/>
  <c r="U74" i="7"/>
  <c r="Q9" i="7"/>
  <c r="U59" i="7"/>
  <c r="R9" i="7"/>
  <c r="U77" i="7"/>
  <c r="U5" i="7"/>
  <c r="S9" i="7"/>
  <c r="U19" i="7"/>
  <c r="U6" i="7"/>
  <c r="T9" i="7"/>
  <c r="U7" i="7"/>
  <c r="S37" i="7"/>
  <c r="U45" i="7"/>
  <c r="U73" i="7"/>
  <c r="U61" i="9"/>
  <c r="AC59" i="9" s="1"/>
  <c r="AB59" i="9"/>
  <c r="U75" i="7"/>
  <c r="U32" i="7"/>
  <c r="U61" i="7"/>
  <c r="U78" i="7"/>
  <c r="U75" i="9"/>
  <c r="AB74" i="9" s="1"/>
  <c r="AK74" i="9" s="1"/>
  <c r="Y73" i="9"/>
  <c r="U3" i="7"/>
  <c r="U49" i="7"/>
  <c r="AJ62" i="10"/>
  <c r="AQ59" i="10"/>
  <c r="U35" i="7"/>
  <c r="U50" i="7"/>
  <c r="U64" i="7"/>
  <c r="U8" i="7"/>
  <c r="P9" i="7"/>
  <c r="U60" i="7"/>
  <c r="U47" i="7"/>
  <c r="U22" i="7"/>
  <c r="Q65" i="7"/>
  <c r="AH76" i="10"/>
  <c r="AM76" i="10" s="1"/>
  <c r="Z74" i="9"/>
  <c r="AI74" i="9" s="1"/>
  <c r="AA74" i="9"/>
  <c r="AJ74" i="9" s="1"/>
  <c r="Y46" i="9"/>
  <c r="Z46" i="9"/>
  <c r="AB46" i="9"/>
  <c r="AC46" i="9"/>
  <c r="U76" i="7"/>
  <c r="Y45" i="9"/>
  <c r="AA45" i="9"/>
  <c r="AC45" i="9"/>
  <c r="U47" i="9"/>
  <c r="AB45" i="9" s="1"/>
  <c r="Z45" i="9"/>
  <c r="U46" i="7"/>
  <c r="U19" i="9"/>
  <c r="AA17" i="9" s="1"/>
  <c r="AC17" i="9"/>
  <c r="U18" i="7"/>
  <c r="U33" i="7"/>
  <c r="U48" i="7"/>
  <c r="U62" i="7"/>
  <c r="U17" i="7"/>
  <c r="U34" i="7"/>
  <c r="U63" i="7"/>
  <c r="U20" i="7"/>
  <c r="U36" i="7"/>
  <c r="U4" i="7"/>
  <c r="V6" i="8"/>
  <c r="AC60" i="9"/>
  <c r="AL60" i="9" s="1"/>
  <c r="AQ31" i="10"/>
  <c r="AQ33" i="10" s="1"/>
  <c r="AQ73" i="10"/>
  <c r="AQ45" i="10"/>
  <c r="AM31" i="10"/>
  <c r="AM34" i="10" s="1"/>
  <c r="AM45" i="10"/>
  <c r="AM48" i="10" s="1"/>
  <c r="AQ47" i="10"/>
  <c r="AM73" i="10"/>
  <c r="AQ75" i="10"/>
  <c r="AM59" i="10"/>
  <c r="AM62" i="10" s="1"/>
  <c r="AD6" i="10"/>
  <c r="AM6" i="10"/>
  <c r="U33" i="9"/>
  <c r="Z32" i="9" s="1"/>
  <c r="AA32" i="9"/>
  <c r="AB32" i="9"/>
  <c r="Y32" i="9"/>
  <c r="AJ32" i="9"/>
  <c r="V24" i="8"/>
  <c r="T25" i="8"/>
  <c r="R25" i="8"/>
  <c r="Q25" i="8"/>
  <c r="U25" i="8"/>
  <c r="S25" i="8"/>
  <c r="V23" i="8"/>
  <c r="V21" i="8"/>
  <c r="V20" i="8"/>
  <c r="V22" i="8"/>
  <c r="P25" i="8"/>
  <c r="V8" i="8"/>
  <c r="V7" i="8"/>
  <c r="V5" i="8"/>
  <c r="Q9" i="8"/>
  <c r="T9" i="8"/>
  <c r="V4" i="8"/>
  <c r="R9" i="8"/>
  <c r="S9" i="8"/>
  <c r="U9" i="8"/>
  <c r="T79" i="7"/>
  <c r="S79" i="7"/>
  <c r="R79" i="7"/>
  <c r="Q79" i="7"/>
  <c r="T65" i="7"/>
  <c r="P65" i="7"/>
  <c r="T51" i="7"/>
  <c r="S51" i="7"/>
  <c r="R51" i="7"/>
  <c r="Q51" i="7"/>
  <c r="T37" i="7"/>
  <c r="R37" i="7"/>
  <c r="Q37" i="7"/>
  <c r="P79" i="7"/>
  <c r="P51" i="7"/>
  <c r="P37" i="7"/>
  <c r="R23" i="7"/>
  <c r="T23" i="7"/>
  <c r="S23" i="7"/>
  <c r="Q23" i="7"/>
  <c r="P23" i="7"/>
  <c r="AQ61" i="10" l="1"/>
  <c r="AQ63" i="10"/>
  <c r="U23" i="7"/>
  <c r="Y18" i="7" s="1"/>
  <c r="Z19" i="7"/>
  <c r="AB19" i="7"/>
  <c r="U9" i="7"/>
  <c r="AC21" i="7"/>
  <c r="U65" i="7"/>
  <c r="AC61" i="7" s="1"/>
  <c r="AL61" i="7" s="1"/>
  <c r="AB47" i="9"/>
  <c r="AK45" i="9"/>
  <c r="AK47" i="9" s="1"/>
  <c r="AA19" i="9"/>
  <c r="AJ17" i="9"/>
  <c r="AJ19" i="9" s="1"/>
  <c r="AC61" i="9"/>
  <c r="AL59" i="9"/>
  <c r="AL61" i="9" s="1"/>
  <c r="U79" i="7"/>
  <c r="AL17" i="9"/>
  <c r="AB17" i="9"/>
  <c r="Y63" i="7"/>
  <c r="AB63" i="7"/>
  <c r="AK63" i="7" s="1"/>
  <c r="Z65" i="7"/>
  <c r="AI65" i="7" s="1"/>
  <c r="AC76" i="7"/>
  <c r="AL76" i="7" s="1"/>
  <c r="Y61" i="7"/>
  <c r="AB61" i="7"/>
  <c r="AK61" i="7" s="1"/>
  <c r="AB18" i="9"/>
  <c r="AK18" i="9" s="1"/>
  <c r="AB18" i="7"/>
  <c r="AK59" i="9"/>
  <c r="AC73" i="9"/>
  <c r="AC4" i="7"/>
  <c r="AL4" i="7" s="1"/>
  <c r="AA60" i="9"/>
  <c r="AJ60" i="9" s="1"/>
  <c r="AA46" i="9"/>
  <c r="AJ46" i="9" s="1"/>
  <c r="Y74" i="9"/>
  <c r="AH74" i="9" s="1"/>
  <c r="Y21" i="7"/>
  <c r="Z59" i="9"/>
  <c r="Y47" i="9"/>
  <c r="AH45" i="9"/>
  <c r="Y18" i="9"/>
  <c r="Z77" i="7"/>
  <c r="AI77" i="7" s="1"/>
  <c r="AC77" i="7"/>
  <c r="AL77" i="7" s="1"/>
  <c r="AA73" i="9"/>
  <c r="Z74" i="7"/>
  <c r="AC74" i="7"/>
  <c r="AA74" i="7"/>
  <c r="AB74" i="7"/>
  <c r="AB60" i="9"/>
  <c r="AK60" i="9" s="1"/>
  <c r="AC47" i="9"/>
  <c r="AL45" i="9"/>
  <c r="Y59" i="9"/>
  <c r="AB64" i="7"/>
  <c r="AK64" i="7" s="1"/>
  <c r="Z64" i="7"/>
  <c r="AI64" i="7" s="1"/>
  <c r="AA64" i="7"/>
  <c r="AJ64" i="7" s="1"/>
  <c r="AC64" i="7"/>
  <c r="AL64" i="7" s="1"/>
  <c r="AA47" i="9"/>
  <c r="AJ45" i="9"/>
  <c r="AB22" i="7"/>
  <c r="AC79" i="7"/>
  <c r="AL79" i="7" s="1"/>
  <c r="AC17" i="7"/>
  <c r="Y17" i="7"/>
  <c r="AB17" i="7"/>
  <c r="AA17" i="7"/>
  <c r="Z3" i="7"/>
  <c r="Y3" i="7"/>
  <c r="AC3" i="7"/>
  <c r="AA18" i="9"/>
  <c r="AJ18" i="9" s="1"/>
  <c r="Z17" i="9"/>
  <c r="Y75" i="9"/>
  <c r="AH73" i="9"/>
  <c r="Z18" i="9"/>
  <c r="AI18" i="9" s="1"/>
  <c r="AC78" i="7"/>
  <c r="AL78" i="7" s="1"/>
  <c r="AC18" i="9"/>
  <c r="AL18" i="9" s="1"/>
  <c r="Z8" i="7"/>
  <c r="AI8" i="7" s="1"/>
  <c r="Z73" i="9"/>
  <c r="Z47" i="9"/>
  <c r="AI45" i="9"/>
  <c r="AB73" i="9"/>
  <c r="Y19" i="7"/>
  <c r="AA59" i="9"/>
  <c r="U37" i="7"/>
  <c r="AC35" i="7" s="1"/>
  <c r="AL35" i="7" s="1"/>
  <c r="Z60" i="9"/>
  <c r="AI60" i="9" s="1"/>
  <c r="Y17" i="9"/>
  <c r="AC74" i="9"/>
  <c r="AL74" i="9" s="1"/>
  <c r="AM74" i="9" s="1"/>
  <c r="U51" i="7"/>
  <c r="Y60" i="9"/>
  <c r="AB21" i="7"/>
  <c r="AK21" i="7" s="1"/>
  <c r="AC32" i="9"/>
  <c r="Y31" i="9"/>
  <c r="Z31" i="9"/>
  <c r="AA31" i="9"/>
  <c r="AB31" i="9"/>
  <c r="AC31" i="9"/>
  <c r="AI46" i="9"/>
  <c r="AD46" i="9"/>
  <c r="AK46" i="9"/>
  <c r="AI32" i="9"/>
  <c r="AL46" i="9"/>
  <c r="AL32" i="9"/>
  <c r="AK32" i="9"/>
  <c r="AH18" i="9"/>
  <c r="AD74" i="9"/>
  <c r="AD45" i="9"/>
  <c r="AD47" i="9" s="1"/>
  <c r="AD73" i="9"/>
  <c r="AD75" i="9" s="1"/>
  <c r="AI19" i="7"/>
  <c r="V25" i="8"/>
  <c r="V9" i="8"/>
  <c r="AB35" i="7" l="1"/>
  <c r="AK35" i="7" s="1"/>
  <c r="Y32" i="7"/>
  <c r="AB32" i="7"/>
  <c r="AK32" i="7" s="1"/>
  <c r="Y36" i="7"/>
  <c r="AC36" i="7"/>
  <c r="AL36" i="7" s="1"/>
  <c r="AA34" i="7"/>
  <c r="AJ34" i="7" s="1"/>
  <c r="AB36" i="7"/>
  <c r="AK36" i="7" s="1"/>
  <c r="Y31" i="7"/>
  <c r="AA63" i="7"/>
  <c r="AJ63" i="7" s="1"/>
  <c r="AB47" i="7"/>
  <c r="AK47" i="7" s="1"/>
  <c r="AB50" i="7"/>
  <c r="AK50" i="7" s="1"/>
  <c r="AC50" i="7"/>
  <c r="AL50" i="7" s="1"/>
  <c r="Z47" i="7"/>
  <c r="AI47" i="7" s="1"/>
  <c r="AC47" i="7"/>
  <c r="AL47" i="7" s="1"/>
  <c r="Y47" i="7"/>
  <c r="AH47" i="7" s="1"/>
  <c r="AA47" i="7"/>
  <c r="AJ47" i="7" s="1"/>
  <c r="AA46" i="7"/>
  <c r="AJ46" i="7" s="1"/>
  <c r="AB60" i="7"/>
  <c r="Z60" i="7"/>
  <c r="AA60" i="7"/>
  <c r="AC63" i="7"/>
  <c r="AL63" i="7" s="1"/>
  <c r="AB62" i="7"/>
  <c r="AK62" i="7" s="1"/>
  <c r="AK66" i="7" s="1"/>
  <c r="Z63" i="7"/>
  <c r="AI63" i="7" s="1"/>
  <c r="AC62" i="7"/>
  <c r="AL62" i="7" s="1"/>
  <c r="AC60" i="7"/>
  <c r="Y62" i="7"/>
  <c r="AB65" i="7"/>
  <c r="AK65" i="7" s="1"/>
  <c r="Z62" i="7"/>
  <c r="AI62" i="7" s="1"/>
  <c r="AC65" i="7"/>
  <c r="AL65" i="7" s="1"/>
  <c r="AA62" i="7"/>
  <c r="AJ62" i="7" s="1"/>
  <c r="Y65" i="7"/>
  <c r="Z61" i="7"/>
  <c r="AI61" i="7" s="1"/>
  <c r="AA65" i="7"/>
  <c r="AJ65" i="7" s="1"/>
  <c r="AA61" i="7"/>
  <c r="AJ61" i="7" s="1"/>
  <c r="Y64" i="7"/>
  <c r="AD64" i="7" s="1"/>
  <c r="AB6" i="7"/>
  <c r="AK6" i="7" s="1"/>
  <c r="AA5" i="7"/>
  <c r="AJ5" i="7" s="1"/>
  <c r="AC7" i="7"/>
  <c r="AL7" i="7" s="1"/>
  <c r="Z5" i="7"/>
  <c r="AI5" i="7" s="1"/>
  <c r="Y7" i="7"/>
  <c r="AH7" i="7" s="1"/>
  <c r="AC5" i="7"/>
  <c r="AL5" i="7" s="1"/>
  <c r="AB3" i="7"/>
  <c r="AA6" i="7"/>
  <c r="AJ6" i="7" s="1"/>
  <c r="AA3" i="7"/>
  <c r="Y5" i="7"/>
  <c r="Z7" i="7"/>
  <c r="AI7" i="7" s="1"/>
  <c r="AC6" i="7"/>
  <c r="AL6" i="7" s="1"/>
  <c r="AC8" i="7"/>
  <c r="AL8" i="7" s="1"/>
  <c r="AB7" i="7"/>
  <c r="Y4" i="7"/>
  <c r="AH4" i="7" s="1"/>
  <c r="Y8" i="7"/>
  <c r="AB5" i="7"/>
  <c r="AK5" i="7" s="1"/>
  <c r="AB8" i="7"/>
  <c r="AK8" i="7" s="1"/>
  <c r="AB75" i="7"/>
  <c r="AK75" i="7" s="1"/>
  <c r="AB76" i="7"/>
  <c r="AK76" i="7" s="1"/>
  <c r="AA77" i="7"/>
  <c r="AJ77" i="7" s="1"/>
  <c r="Y74" i="7"/>
  <c r="AD74" i="7" s="1"/>
  <c r="AB77" i="7"/>
  <c r="AK77" i="7" s="1"/>
  <c r="AB78" i="7"/>
  <c r="AK78" i="7" s="1"/>
  <c r="Y75" i="7"/>
  <c r="AH75" i="7" s="1"/>
  <c r="Y77" i="7"/>
  <c r="AH77" i="7" s="1"/>
  <c r="AC75" i="7"/>
  <c r="AL75" i="7" s="1"/>
  <c r="AL80" i="7" s="1"/>
  <c r="Y78" i="7"/>
  <c r="Y79" i="7"/>
  <c r="AH79" i="7" s="1"/>
  <c r="Y6" i="7"/>
  <c r="AH6" i="7" s="1"/>
  <c r="AA79" i="7"/>
  <c r="AJ79" i="7" s="1"/>
  <c r="AA8" i="7"/>
  <c r="AJ8" i="7" s="1"/>
  <c r="Z4" i="7"/>
  <c r="AI4" i="7" s="1"/>
  <c r="AA76" i="7"/>
  <c r="AJ76" i="7" s="1"/>
  <c r="Y60" i="7"/>
  <c r="AD60" i="7" s="1"/>
  <c r="Z79" i="7"/>
  <c r="AI79" i="7" s="1"/>
  <c r="AA4" i="7"/>
  <c r="AJ4" i="7" s="1"/>
  <c r="AJ9" i="7" s="1"/>
  <c r="Z76" i="7"/>
  <c r="AI76" i="7" s="1"/>
  <c r="Z6" i="7"/>
  <c r="AI6" i="7" s="1"/>
  <c r="AB79" i="7"/>
  <c r="AK79" i="7" s="1"/>
  <c r="AB4" i="7"/>
  <c r="Y76" i="7"/>
  <c r="AH76" i="7" s="1"/>
  <c r="AA7" i="7"/>
  <c r="AJ7" i="7" s="1"/>
  <c r="AA36" i="7"/>
  <c r="AJ36" i="7" s="1"/>
  <c r="AA20" i="7"/>
  <c r="AJ20" i="7" s="1"/>
  <c r="Y45" i="7"/>
  <c r="Z17" i="7"/>
  <c r="AC22" i="7"/>
  <c r="AL22" i="7" s="1"/>
  <c r="Y33" i="7"/>
  <c r="AH33" i="7" s="1"/>
  <c r="AA31" i="7"/>
  <c r="AA19" i="7"/>
  <c r="AB20" i="7"/>
  <c r="AK20" i="7" s="1"/>
  <c r="AC45" i="7"/>
  <c r="AC34" i="7"/>
  <c r="AL34" i="7" s="1"/>
  <c r="Z22" i="7"/>
  <c r="AA35" i="7"/>
  <c r="AJ35" i="7" s="1"/>
  <c r="AC33" i="7"/>
  <c r="AL33" i="7" s="1"/>
  <c r="AC20" i="7"/>
  <c r="AL20" i="7" s="1"/>
  <c r="Z45" i="7"/>
  <c r="AB34" i="7"/>
  <c r="AK34" i="7" s="1"/>
  <c r="Y22" i="7"/>
  <c r="AD22" i="7" s="1"/>
  <c r="Z21" i="7"/>
  <c r="AI21" i="7" s="1"/>
  <c r="Z35" i="7"/>
  <c r="AI35" i="7" s="1"/>
  <c r="AA18" i="7"/>
  <c r="Z33" i="7"/>
  <c r="AI33" i="7" s="1"/>
  <c r="AA21" i="7"/>
  <c r="AJ21" i="7" s="1"/>
  <c r="Z20" i="7"/>
  <c r="AA45" i="7"/>
  <c r="Z34" i="7"/>
  <c r="AI34" i="7" s="1"/>
  <c r="AA22" i="7"/>
  <c r="AJ22" i="7" s="1"/>
  <c r="Y35" i="7"/>
  <c r="AD35" i="7" s="1"/>
  <c r="Z18" i="7"/>
  <c r="AB33" i="7"/>
  <c r="AK33" i="7" s="1"/>
  <c r="AK37" i="7" s="1"/>
  <c r="Y20" i="7"/>
  <c r="Y34" i="7"/>
  <c r="AH34" i="7" s="1"/>
  <c r="AC19" i="7"/>
  <c r="AL19" i="7" s="1"/>
  <c r="AC18" i="7"/>
  <c r="AB19" i="9"/>
  <c r="AK17" i="9"/>
  <c r="AK19" i="9" s="1"/>
  <c r="AA33" i="9"/>
  <c r="AJ31" i="9"/>
  <c r="AJ33" i="9" s="1"/>
  <c r="AC75" i="9"/>
  <c r="AL73" i="9"/>
  <c r="AL75" i="9" s="1"/>
  <c r="AD17" i="7"/>
  <c r="AM65" i="7"/>
  <c r="AQ73" i="9"/>
  <c r="AQ75" i="9" s="1"/>
  <c r="AM73" i="9"/>
  <c r="AM75" i="9" s="1"/>
  <c r="AH75" i="9"/>
  <c r="Z61" i="9"/>
  <c r="AI59" i="9"/>
  <c r="Y50" i="7"/>
  <c r="AB61" i="9"/>
  <c r="Z48" i="7"/>
  <c r="AI48" i="7" s="1"/>
  <c r="Y19" i="9"/>
  <c r="AH17" i="9"/>
  <c r="AM64" i="7"/>
  <c r="AC48" i="7"/>
  <c r="AL48" i="7" s="1"/>
  <c r="AI47" i="9"/>
  <c r="Z49" i="7"/>
  <c r="AI49" i="7" s="1"/>
  <c r="AB48" i="7"/>
  <c r="AK48" i="7" s="1"/>
  <c r="AH32" i="7"/>
  <c r="AB31" i="7"/>
  <c r="AC31" i="7"/>
  <c r="Z46" i="7"/>
  <c r="AI46" i="7" s="1"/>
  <c r="AD3" i="7"/>
  <c r="AB49" i="7"/>
  <c r="AK49" i="7" s="1"/>
  <c r="AA75" i="9"/>
  <c r="AJ73" i="9"/>
  <c r="AJ75" i="9" s="1"/>
  <c r="AA33" i="7"/>
  <c r="AJ33" i="7" s="1"/>
  <c r="AA32" i="7"/>
  <c r="AJ32" i="7" s="1"/>
  <c r="AL19" i="9"/>
  <c r="AA61" i="9"/>
  <c r="AJ59" i="9"/>
  <c r="AJ61" i="9" s="1"/>
  <c r="AA48" i="7"/>
  <c r="AJ48" i="7" s="1"/>
  <c r="AC49" i="7"/>
  <c r="AL49" i="7" s="1"/>
  <c r="Z32" i="7"/>
  <c r="AI32" i="7" s="1"/>
  <c r="AD6" i="7"/>
  <c r="AC33" i="9"/>
  <c r="AL31" i="9"/>
  <c r="AL33" i="9" s="1"/>
  <c r="Z75" i="9"/>
  <c r="AI73" i="9"/>
  <c r="AI75" i="9" s="1"/>
  <c r="AB33" i="9"/>
  <c r="AK31" i="9"/>
  <c r="AK33" i="9" s="1"/>
  <c r="AH47" i="9"/>
  <c r="AQ45" i="9"/>
  <c r="AQ47" i="9" s="1"/>
  <c r="AM45" i="9"/>
  <c r="AJ47" i="9"/>
  <c r="AJ66" i="7"/>
  <c r="Z33" i="9"/>
  <c r="AI31" i="9"/>
  <c r="AI33" i="9" s="1"/>
  <c r="AA50" i="7"/>
  <c r="AJ50" i="7" s="1"/>
  <c r="Y48" i="7"/>
  <c r="AB75" i="9"/>
  <c r="AK73" i="9"/>
  <c r="AK75" i="9" s="1"/>
  <c r="Z50" i="7"/>
  <c r="AI50" i="7" s="1"/>
  <c r="AK61" i="9"/>
  <c r="Z19" i="9"/>
  <c r="AI17" i="9"/>
  <c r="AI19" i="9" s="1"/>
  <c r="AB46" i="7"/>
  <c r="AK46" i="7" s="1"/>
  <c r="AH5" i="7"/>
  <c r="AK7" i="7"/>
  <c r="AC46" i="7"/>
  <c r="AL46" i="7" s="1"/>
  <c r="AA49" i="7"/>
  <c r="AJ49" i="7" s="1"/>
  <c r="Y61" i="9"/>
  <c r="AH36" i="7"/>
  <c r="AC19" i="9"/>
  <c r="AB45" i="7"/>
  <c r="AH78" i="7"/>
  <c r="Y46" i="7"/>
  <c r="Y49" i="7"/>
  <c r="AL47" i="9"/>
  <c r="Z36" i="7"/>
  <c r="AI36" i="7" s="1"/>
  <c r="AK4" i="7"/>
  <c r="AC32" i="7"/>
  <c r="AL32" i="7" s="1"/>
  <c r="Z78" i="7"/>
  <c r="AI78" i="7" s="1"/>
  <c r="Z75" i="7"/>
  <c r="AI75" i="7" s="1"/>
  <c r="AA75" i="7"/>
  <c r="AJ75" i="7" s="1"/>
  <c r="AA78" i="7"/>
  <c r="AJ78" i="7" s="1"/>
  <c r="Z31" i="7"/>
  <c r="AD31" i="7" s="1"/>
  <c r="AD31" i="9"/>
  <c r="AH31" i="9"/>
  <c r="Y33" i="9"/>
  <c r="AH46" i="9"/>
  <c r="AD18" i="9"/>
  <c r="AD32" i="9"/>
  <c r="AH32" i="9"/>
  <c r="AM32" i="9" s="1"/>
  <c r="AM60" i="9"/>
  <c r="AM18" i="9"/>
  <c r="AD59" i="9"/>
  <c r="AD17" i="9"/>
  <c r="AD19" i="9" s="1"/>
  <c r="AM46" i="9"/>
  <c r="AD60" i="9"/>
  <c r="AL21" i="7"/>
  <c r="AH21" i="7"/>
  <c r="AH19" i="7"/>
  <c r="AK18" i="7"/>
  <c r="AK22" i="7"/>
  <c r="AL18" i="7"/>
  <c r="AI20" i="7"/>
  <c r="AI22" i="7"/>
  <c r="AJ18" i="7"/>
  <c r="AK19" i="7"/>
  <c r="G13" i="6" a="1"/>
  <c r="G17" i="6" s="1"/>
  <c r="F13" i="6" a="1"/>
  <c r="F18" i="6" s="1"/>
  <c r="E13" i="6" a="1"/>
  <c r="E17" i="6" s="1"/>
  <c r="D13" i="6" a="1"/>
  <c r="D18" i="6" s="1"/>
  <c r="C13" i="6" a="1"/>
  <c r="C17" i="6" s="1"/>
  <c r="B13" i="6" a="1"/>
  <c r="B18" i="6" s="1"/>
  <c r="L2" i="6" a="1"/>
  <c r="L3" i="6" s="1"/>
  <c r="J2" i="6" a="1"/>
  <c r="J4" i="6" s="1"/>
  <c r="H2" i="6" a="1"/>
  <c r="H6" i="6" s="1"/>
  <c r="F2" i="6" a="1"/>
  <c r="F4" i="6" s="1"/>
  <c r="D2" i="6" a="1"/>
  <c r="D3" i="6" s="1"/>
  <c r="B2" i="6" a="1"/>
  <c r="B6" i="6" s="1"/>
  <c r="G26" i="4" a="1"/>
  <c r="G31" i="4" s="1"/>
  <c r="F26" i="4" a="1"/>
  <c r="F30" i="4" s="1"/>
  <c r="E26" i="4" a="1"/>
  <c r="E31" i="4" s="1"/>
  <c r="D26" i="4" a="1"/>
  <c r="D30" i="4" s="1"/>
  <c r="C26" i="4" a="1"/>
  <c r="C31" i="4" s="1"/>
  <c r="B26" i="4" a="1"/>
  <c r="B30" i="4" s="1"/>
  <c r="B3" i="4" a="1"/>
  <c r="B8" i="4" s="1"/>
  <c r="O2" i="5" a="1"/>
  <c r="O2" i="5" s="1"/>
  <c r="T114" i="5" a="1"/>
  <c r="T114" i="5" s="1"/>
  <c r="S114" i="5" a="1"/>
  <c r="S114" i="5" s="1"/>
  <c r="R114" i="5" a="1"/>
  <c r="R114" i="5" s="1"/>
  <c r="Q114" i="5" a="1"/>
  <c r="Q114" i="5" s="1"/>
  <c r="P114" i="5" a="1"/>
  <c r="P114" i="5" s="1"/>
  <c r="O114" i="5" a="1"/>
  <c r="O114" i="5" s="1"/>
  <c r="Y2" i="5" a="1"/>
  <c r="Y2" i="5" s="1"/>
  <c r="W2" i="5" a="1"/>
  <c r="W2" i="5" s="1"/>
  <c r="U2" i="5" a="1"/>
  <c r="U2" i="5" s="1"/>
  <c r="S2" i="5" a="1"/>
  <c r="S2" i="5" s="1"/>
  <c r="Q2" i="5" a="1"/>
  <c r="Q2" i="5" s="1"/>
  <c r="AK80" i="7" l="1"/>
  <c r="AM61" i="7"/>
  <c r="Z66" i="7"/>
  <c r="AC37" i="7"/>
  <c r="AJ51" i="7"/>
  <c r="AM79" i="7"/>
  <c r="AM33" i="7"/>
  <c r="AL66" i="7"/>
  <c r="AD62" i="7"/>
  <c r="AI9" i="7"/>
  <c r="AM62" i="7"/>
  <c r="AD8" i="7"/>
  <c r="AM47" i="7"/>
  <c r="AA66" i="7"/>
  <c r="AD65" i="7"/>
  <c r="AM34" i="7"/>
  <c r="AD19" i="7"/>
  <c r="AM6" i="7"/>
  <c r="AD33" i="7"/>
  <c r="AL9" i="7"/>
  <c r="AM7" i="7"/>
  <c r="AJ37" i="7"/>
  <c r="AD7" i="7"/>
  <c r="AD20" i="7"/>
  <c r="AM77" i="7"/>
  <c r="AM5" i="7"/>
  <c r="AD61" i="7"/>
  <c r="AQ63" i="7"/>
  <c r="AD76" i="7"/>
  <c r="AI51" i="7"/>
  <c r="AI66" i="7"/>
  <c r="AC9" i="7"/>
  <c r="AB66" i="7"/>
  <c r="AK51" i="7"/>
  <c r="AM76" i="7"/>
  <c r="AH8" i="7"/>
  <c r="AM8" i="7" s="1"/>
  <c r="AD18" i="7"/>
  <c r="AD21" i="7"/>
  <c r="Y37" i="7"/>
  <c r="AB37" i="7"/>
  <c r="Z9" i="7"/>
  <c r="AC66" i="7"/>
  <c r="AI80" i="7"/>
  <c r="AD77" i="7"/>
  <c r="AD63" i="7"/>
  <c r="AD5" i="7"/>
  <c r="Y9" i="7"/>
  <c r="AI18" i="7"/>
  <c r="AI23" i="7" s="1"/>
  <c r="AC80" i="7"/>
  <c r="AH35" i="7"/>
  <c r="AM35" i="7" s="1"/>
  <c r="AD47" i="7"/>
  <c r="AA9" i="7"/>
  <c r="AJ19" i="7"/>
  <c r="AJ23" i="7" s="1"/>
  <c r="AL37" i="7"/>
  <c r="Y66" i="7"/>
  <c r="Y80" i="7"/>
  <c r="AB80" i="7"/>
  <c r="AB9" i="7"/>
  <c r="AM63" i="7"/>
  <c r="AM4" i="7"/>
  <c r="AD34" i="7"/>
  <c r="AD4" i="7"/>
  <c r="AD79" i="7"/>
  <c r="AQ17" i="9"/>
  <c r="AQ19" i="9" s="1"/>
  <c r="AH19" i="9"/>
  <c r="AM17" i="9"/>
  <c r="AM19" i="9" s="1"/>
  <c r="AH49" i="7"/>
  <c r="AM49" i="7" s="1"/>
  <c r="AD49" i="7"/>
  <c r="AD46" i="7"/>
  <c r="AH46" i="7"/>
  <c r="AJ80" i="7"/>
  <c r="AD32" i="7"/>
  <c r="AI37" i="7"/>
  <c r="AA37" i="7"/>
  <c r="AM36" i="7"/>
  <c r="AH48" i="7"/>
  <c r="AM48" i="7" s="1"/>
  <c r="AD48" i="7"/>
  <c r="Y51" i="7"/>
  <c r="AQ59" i="9"/>
  <c r="AQ61" i="9" s="1"/>
  <c r="AI61" i="9"/>
  <c r="AM59" i="9"/>
  <c r="AM61" i="9" s="1"/>
  <c r="AD61" i="9"/>
  <c r="AB51" i="7"/>
  <c r="AM32" i="7"/>
  <c r="AH37" i="7"/>
  <c r="AK9" i="7"/>
  <c r="AD36" i="7"/>
  <c r="AD45" i="7"/>
  <c r="AQ77" i="7"/>
  <c r="AQ79" i="7" s="1"/>
  <c r="AH80" i="7"/>
  <c r="AM75" i="7"/>
  <c r="Z51" i="7"/>
  <c r="AM31" i="9"/>
  <c r="AH33" i="9"/>
  <c r="AM33" i="9" s="1"/>
  <c r="AQ31" i="9"/>
  <c r="AQ33" i="9" s="1"/>
  <c r="AL51" i="7"/>
  <c r="Z37" i="7"/>
  <c r="AD78" i="7"/>
  <c r="AA80" i="7"/>
  <c r="AM78" i="7"/>
  <c r="AC51" i="7"/>
  <c r="L2" i="6"/>
  <c r="Z80" i="7"/>
  <c r="AD50" i="7"/>
  <c r="AH50" i="7"/>
  <c r="AM50" i="7" s="1"/>
  <c r="AD33" i="9"/>
  <c r="AM47" i="9"/>
  <c r="AA51" i="7"/>
  <c r="AD75" i="7"/>
  <c r="AK23" i="7"/>
  <c r="Z23" i="7"/>
  <c r="AC23" i="7"/>
  <c r="AH22" i="7"/>
  <c r="AM22" i="7" s="1"/>
  <c r="AL23" i="7"/>
  <c r="AM19" i="7"/>
  <c r="AA23" i="7"/>
  <c r="Y23" i="7"/>
  <c r="AH18" i="7"/>
  <c r="AB23" i="7"/>
  <c r="AM21" i="7"/>
  <c r="AH20" i="7"/>
  <c r="AM20" i="7" s="1"/>
  <c r="B17" i="6"/>
  <c r="B15" i="6"/>
  <c r="D2" i="6"/>
  <c r="O7" i="5"/>
  <c r="D13" i="6"/>
  <c r="D15" i="6"/>
  <c r="D17" i="6"/>
  <c r="L4" i="6"/>
  <c r="F13" i="6"/>
  <c r="F15" i="6"/>
  <c r="B13" i="6"/>
  <c r="F17" i="6"/>
  <c r="B3" i="4"/>
  <c r="E26" i="4"/>
  <c r="B7" i="4"/>
  <c r="E30" i="4"/>
  <c r="C28" i="4"/>
  <c r="G28" i="4"/>
  <c r="B5" i="4"/>
  <c r="C26" i="4"/>
  <c r="C30" i="4"/>
  <c r="E28" i="4"/>
  <c r="G26" i="4"/>
  <c r="G30" i="4"/>
  <c r="B3" i="6"/>
  <c r="B5" i="6"/>
  <c r="B7" i="6"/>
  <c r="F3" i="6"/>
  <c r="H3" i="6"/>
  <c r="H5" i="6"/>
  <c r="J3" i="6"/>
  <c r="J5" i="6"/>
  <c r="C14" i="6"/>
  <c r="C16" i="6"/>
  <c r="C18" i="6"/>
  <c r="E14" i="6"/>
  <c r="E16" i="6"/>
  <c r="E18" i="6"/>
  <c r="G14" i="6"/>
  <c r="G16" i="6"/>
  <c r="G18" i="6"/>
  <c r="B2" i="6"/>
  <c r="B4" i="6"/>
  <c r="F2" i="6"/>
  <c r="H2" i="6"/>
  <c r="H4" i="6"/>
  <c r="J2" i="6"/>
  <c r="B14" i="6"/>
  <c r="B16" i="6"/>
  <c r="C13" i="6"/>
  <c r="C15" i="6"/>
  <c r="D14" i="6"/>
  <c r="D16" i="6"/>
  <c r="E13" i="6"/>
  <c r="E15" i="6"/>
  <c r="F14" i="6"/>
  <c r="F16" i="6"/>
  <c r="G13" i="6"/>
  <c r="G15" i="6"/>
  <c r="B27" i="4"/>
  <c r="B29" i="4"/>
  <c r="B31" i="4"/>
  <c r="D27" i="4"/>
  <c r="D29" i="4"/>
  <c r="D31" i="4"/>
  <c r="F27" i="4"/>
  <c r="F29" i="4"/>
  <c r="F31" i="4"/>
  <c r="B4" i="4"/>
  <c r="B6" i="4"/>
  <c r="B26" i="4"/>
  <c r="B28" i="4"/>
  <c r="C27" i="4"/>
  <c r="C29" i="4"/>
  <c r="D26" i="4"/>
  <c r="D28" i="4"/>
  <c r="E27" i="4"/>
  <c r="E29" i="4"/>
  <c r="F26" i="4"/>
  <c r="F28" i="4"/>
  <c r="G27" i="4"/>
  <c r="G29" i="4"/>
  <c r="O5" i="5"/>
  <c r="O3" i="5"/>
  <c r="O6" i="5"/>
  <c r="O4" i="5"/>
  <c r="Q3" i="5"/>
  <c r="S3" i="5"/>
  <c r="U5" i="5"/>
  <c r="W5" i="5"/>
  <c r="W3" i="5"/>
  <c r="Y3" i="5"/>
  <c r="S117" i="5"/>
  <c r="S119" i="5"/>
  <c r="S115" i="5"/>
  <c r="T117" i="5"/>
  <c r="O117" i="5"/>
  <c r="P117" i="5"/>
  <c r="Q117" i="5"/>
  <c r="S118" i="5"/>
  <c r="S116" i="5"/>
  <c r="T119" i="5"/>
  <c r="T115" i="5"/>
  <c r="T118" i="5"/>
  <c r="T116" i="5"/>
  <c r="W4" i="5"/>
  <c r="Y4" i="5"/>
  <c r="O119" i="5"/>
  <c r="O115" i="5"/>
  <c r="P119" i="5"/>
  <c r="P115" i="5"/>
  <c r="Q119" i="5"/>
  <c r="Q115" i="5"/>
  <c r="R117" i="5"/>
  <c r="U3" i="5"/>
  <c r="Q118" i="5"/>
  <c r="Q116" i="5"/>
  <c r="R119" i="5"/>
  <c r="R115" i="5"/>
  <c r="S4" i="5"/>
  <c r="U6" i="5"/>
  <c r="U4" i="5"/>
  <c r="P118" i="5"/>
  <c r="P116" i="5"/>
  <c r="R118" i="5"/>
  <c r="R116" i="5"/>
  <c r="O118" i="5"/>
  <c r="O116" i="5"/>
  <c r="AD23" i="7" l="1"/>
  <c r="AD66" i="7"/>
  <c r="AM66" i="7"/>
  <c r="AM37" i="7"/>
  <c r="AH9" i="7"/>
  <c r="AM9" i="7" s="1"/>
  <c r="AD80" i="7"/>
  <c r="AD9" i="7"/>
  <c r="AQ5" i="7"/>
  <c r="AQ65" i="7"/>
  <c r="AQ34" i="7"/>
  <c r="AD37" i="7"/>
  <c r="AQ48" i="7"/>
  <c r="AM46" i="7"/>
  <c r="AH51" i="7"/>
  <c r="AM51" i="7" s="1"/>
  <c r="AM80" i="7"/>
  <c r="AD51" i="7"/>
  <c r="AQ20" i="7"/>
  <c r="AM18" i="7"/>
  <c r="AH23" i="7"/>
  <c r="AM23" i="7" s="1"/>
  <c r="AQ50" i="7" l="1"/>
  <c r="AQ52" i="7"/>
  <c r="AQ36" i="7"/>
  <c r="AQ38" i="7"/>
  <c r="AQ7" i="7"/>
  <c r="AQ13" i="7"/>
  <c r="AQ22" i="7"/>
  <c r="AQ25" i="7"/>
  <c r="U5" i="9"/>
  <c r="Y4" i="9"/>
  <c r="AH4" i="9" s="1"/>
  <c r="AC3" i="9" l="1"/>
  <c r="Z3" i="9"/>
  <c r="AI3" i="9" s="1"/>
  <c r="AC4" i="9"/>
  <c r="AL4" i="9" s="1"/>
  <c r="AB4" i="9"/>
  <c r="AK4" i="9" s="1"/>
  <c r="AC5" i="9"/>
  <c r="AL3" i="9"/>
  <c r="AL5" i="9" s="1"/>
  <c r="Y3" i="9"/>
  <c r="AA4" i="9"/>
  <c r="AJ4" i="9" s="1"/>
  <c r="AA3" i="9"/>
  <c r="AB3" i="9"/>
  <c r="Z4" i="9"/>
  <c r="AD4" i="9" l="1"/>
  <c r="AI4" i="9"/>
  <c r="AK3" i="9"/>
  <c r="AK5" i="9" s="1"/>
  <c r="AB5" i="9"/>
  <c r="AA5" i="9"/>
  <c r="AJ3" i="9"/>
  <c r="AJ5" i="9" s="1"/>
  <c r="AD3" i="9"/>
  <c r="AH3" i="9"/>
  <c r="AQ5" i="9" s="1"/>
  <c r="AQ7" i="9" s="1"/>
  <c r="Y5" i="9"/>
  <c r="Z5" i="9"/>
  <c r="AD5" i="9" l="1"/>
  <c r="AM3" i="9"/>
  <c r="AH5" i="9"/>
  <c r="AI5" i="9"/>
  <c r="AM4" i="9"/>
  <c r="AM5" i="9" l="1"/>
  <c r="AM20" i="10" l="1"/>
  <c r="U21" i="14" l="1"/>
  <c r="AK18" i="14"/>
  <c r="AJ18" i="14"/>
  <c r="AI18" i="14"/>
  <c r="AH19" i="14"/>
  <c r="AK17" i="14"/>
  <c r="AD18" i="14"/>
  <c r="AL18" i="14"/>
  <c r="AL19" i="14"/>
  <c r="AJ17" i="14"/>
  <c r="AH17" i="14"/>
  <c r="AH18" i="14"/>
  <c r="AJ19" i="14"/>
  <c r="AL17" i="14"/>
  <c r="AD17" i="14"/>
  <c r="AK19" i="14"/>
  <c r="AI19" i="14"/>
  <c r="AI17" i="14"/>
  <c r="AM19" i="14" l="1"/>
  <c r="AM18" i="14"/>
  <c r="AM17" i="14"/>
  <c r="AQ19" i="14"/>
  <c r="AQ21" i="14"/>
  <c r="AD19" i="14"/>
  <c r="AL3" i="15"/>
  <c r="AH5" i="15"/>
  <c r="AM5" i="15" s="1"/>
  <c r="AC4" i="15"/>
  <c r="AL4" i="15"/>
  <c r="Y4" i="15"/>
  <c r="AH4" i="15" s="1"/>
  <c r="Y5" i="15"/>
  <c r="AD5" i="15" s="1"/>
  <c r="AB4" i="15"/>
  <c r="AD4" i="15" s="1"/>
  <c r="AK4" i="15"/>
  <c r="Y3" i="15"/>
  <c r="AD3" i="15" s="1"/>
  <c r="AH3" i="15"/>
  <c r="Z4" i="15"/>
  <c r="AI4" i="15"/>
  <c r="AB5" i="15"/>
  <c r="AK5" i="15"/>
  <c r="AI3" i="15"/>
  <c r="AK3" i="15"/>
  <c r="Z5" i="15"/>
  <c r="AI5" i="15"/>
  <c r="AA4" i="15"/>
  <c r="AJ4" i="15"/>
  <c r="AA5" i="15"/>
  <c r="AJ5" i="15"/>
  <c r="AC5" i="15"/>
  <c r="AL5" i="15"/>
  <c r="AM4" i="15" l="1"/>
  <c r="AJ3" i="15"/>
  <c r="AM3" i="15" l="1"/>
  <c r="AQ7" i="15" l="1"/>
  <c r="AQ11" i="15"/>
  <c r="Z19" i="15"/>
  <c r="AD19" i="15" s="1"/>
  <c r="AC17" i="15"/>
  <c r="AL17" i="15" s="1"/>
  <c r="AJ17" i="15"/>
  <c r="AC18" i="15"/>
  <c r="AL18" i="15"/>
  <c r="AC19" i="15"/>
  <c r="AL19" i="15"/>
  <c r="AH19" i="15"/>
  <c r="AA19" i="15"/>
  <c r="AJ19" i="15" s="1"/>
  <c r="AA17" i="15"/>
  <c r="AA18" i="15"/>
  <c r="AJ18" i="15" s="1"/>
  <c r="AB18" i="15"/>
  <c r="AK18" i="15" s="1"/>
  <c r="Z18" i="15"/>
  <c r="Y18" i="15"/>
  <c r="AD18" i="15" s="1"/>
  <c r="Y17" i="15"/>
  <c r="AD17" i="15" s="1"/>
  <c r="Y19" i="15"/>
  <c r="AB17" i="15"/>
  <c r="AK17" i="15"/>
  <c r="AB19" i="15"/>
  <c r="AK19" i="15"/>
  <c r="Z17" i="15"/>
  <c r="AI17" i="15"/>
  <c r="AI18" i="15" l="1"/>
  <c r="AH17" i="15"/>
  <c r="AH18" i="15"/>
  <c r="AM18" i="15" s="1"/>
  <c r="AI19" i="15"/>
  <c r="AM19" i="15" s="1"/>
  <c r="AM17" i="15" l="1"/>
  <c r="AQ19" i="15" l="1"/>
  <c r="AQ21" i="15"/>
  <c r="AB33" i="15"/>
  <c r="AK33" i="15"/>
  <c r="AB31" i="15"/>
  <c r="Y32" i="15"/>
  <c r="AD32" i="15" s="1"/>
  <c r="AH32" i="15"/>
  <c r="AM32" i="15" s="1"/>
  <c r="AD33" i="15"/>
  <c r="AB32" i="15"/>
  <c r="AK32" i="15"/>
  <c r="Z33" i="15"/>
  <c r="AI33" i="15"/>
  <c r="Y33" i="15"/>
  <c r="AH33" i="15"/>
  <c r="AA32" i="15"/>
  <c r="AJ32" i="15"/>
  <c r="Y31" i="15"/>
  <c r="AD31" i="15" s="1"/>
  <c r="AA33" i="15"/>
  <c r="AJ33" i="15"/>
  <c r="AM33" i="15" s="1"/>
  <c r="Z31" i="15"/>
  <c r="AI31" i="15" s="1"/>
  <c r="AA31" i="15"/>
  <c r="AJ31" i="15" s="1"/>
  <c r="AC31" i="15"/>
  <c r="AL31" i="15"/>
  <c r="AC33" i="15"/>
  <c r="AL33" i="15"/>
  <c r="Z32" i="15"/>
  <c r="AI32" i="15"/>
  <c r="AC32" i="15"/>
  <c r="AL32" i="15"/>
  <c r="AK31" i="15" l="1"/>
  <c r="AH31" i="15"/>
  <c r="AM31" i="15" l="1"/>
  <c r="AQ35" i="15" l="1"/>
  <c r="AQ33" i="15"/>
</calcChain>
</file>

<file path=xl/sharedStrings.xml><?xml version="1.0" encoding="utf-8"?>
<sst xmlns="http://schemas.openxmlformats.org/spreadsheetml/2006/main" count="1412" uniqueCount="507">
  <si>
    <t>label</t>
  </si>
  <si>
    <t xml:space="preserve">Varible name </t>
  </si>
  <si>
    <t xml:space="preserve">Values </t>
  </si>
  <si>
    <t>Age</t>
  </si>
  <si>
    <t>Gender</t>
  </si>
  <si>
    <t>Position</t>
  </si>
  <si>
    <t>Experience</t>
  </si>
  <si>
    <t>Education</t>
  </si>
  <si>
    <t>Level</t>
  </si>
  <si>
    <t>Satisfaction1</t>
  </si>
  <si>
    <t>Satisfaction2</t>
  </si>
  <si>
    <t>Satisfaction3</t>
  </si>
  <si>
    <t>Satisfaction4</t>
  </si>
  <si>
    <t>Satisfaction5</t>
  </si>
  <si>
    <t>Satisfaction6</t>
  </si>
  <si>
    <t>Selfawareness1</t>
  </si>
  <si>
    <t>Selfawareness2</t>
  </si>
  <si>
    <t>Selfawareness3</t>
  </si>
  <si>
    <t>Selfawareness4</t>
  </si>
  <si>
    <t>Selfawareness5</t>
  </si>
  <si>
    <t>Selfawareness6</t>
  </si>
  <si>
    <t>Selfreflection1</t>
  </si>
  <si>
    <t>Selfreflection2</t>
  </si>
  <si>
    <t>Selfreflection3</t>
  </si>
  <si>
    <t>Selfreflection4</t>
  </si>
  <si>
    <t>Selfreflection5</t>
  </si>
  <si>
    <t>Selfreflection6</t>
  </si>
  <si>
    <t>Selfreflection7</t>
  </si>
  <si>
    <t>Selfreflection8</t>
  </si>
  <si>
    <t>Motivation1</t>
  </si>
  <si>
    <t>Motivation2</t>
  </si>
  <si>
    <t>Motivation3</t>
  </si>
  <si>
    <t>Motivation4</t>
  </si>
  <si>
    <t>Motivation5</t>
  </si>
  <si>
    <t>Motivation6</t>
  </si>
  <si>
    <t>Empathy1</t>
  </si>
  <si>
    <t>Empathy2</t>
  </si>
  <si>
    <t>Empathy3</t>
  </si>
  <si>
    <t>Empathy4</t>
  </si>
  <si>
    <t>Empathy5</t>
  </si>
  <si>
    <t>Empathy6</t>
  </si>
  <si>
    <t>Empathy7</t>
  </si>
  <si>
    <t>Empathy8</t>
  </si>
  <si>
    <t>Socialskills1</t>
  </si>
  <si>
    <t>Socialskills2</t>
  </si>
  <si>
    <t>Socialskills3</t>
  </si>
  <si>
    <t>Socialskills4</t>
  </si>
  <si>
    <t>Socialskills5</t>
  </si>
  <si>
    <t>Socialskills6</t>
  </si>
  <si>
    <t>A leader's lack of awareness regarding their mood, emotion, strength, and weakness in a given situation suggests a lack of competence.</t>
  </si>
  <si>
    <t>A leader's openness and honesty has a positive impact on your perspective and satisfaction with your work</t>
  </si>
  <si>
    <t>When a leader is unaware of the impact their emotions and actions have on others, it harms the work environment and decreases the quality of work among colleagues.</t>
  </si>
  <si>
    <t>Having a leader who approaches issues objectively and with mindfulness enhances your contentment in your job.</t>
  </si>
  <si>
    <t>Lack of humility in a leader deteriorates your satisfaction with your job.</t>
  </si>
  <si>
    <t>A leader who displays excellent critical thinking abilities leaves you feeling motivated and content with your job</t>
  </si>
  <si>
    <t>Does the manner in which your supervisor handles situations give you a feeling of satisfaction and admiration for your job</t>
  </si>
  <si>
    <t>A leader who fails to handle job stress, frustration, and burnout effectively fails to instill confidence and admiration in the workplace.</t>
  </si>
  <si>
    <t>The significance of leaders considering their responses before speaking is crucial for employee job satisfaction.</t>
  </si>
  <si>
    <t>The manner in which a leader handles my emotions does not alter the perception of my employment.</t>
  </si>
  <si>
    <t>The presence of a leader who is receptive to change is significant, but it does not alter my perspective of my job.</t>
  </si>
  <si>
    <t>A leader who can accurately gauge the atmosphere and respond effectively without causing adverse effects enhances your expectations and the standards of your work.</t>
  </si>
  <si>
    <t>A leader who is not trustworthy and prone to unreliability results in my unhappiness with my job.</t>
  </si>
  <si>
    <t>Having a leader who is at ease with ambiguity and capable of withholding judgement  influences proactive work attitudes.</t>
  </si>
  <si>
    <t>The stimulation and encouragement provided by a supervisor in the workplace has a significant impact on an individual's job satisfaction.</t>
  </si>
  <si>
    <t>The responsibility of motivating staff lies solely with leaders</t>
  </si>
  <si>
    <t>Your sense of value is enhanced by your supervisor's engagement with you and your colleagues.</t>
  </si>
  <si>
    <t>The role of a leader is to inspire commitment to your job fulfillment.</t>
  </si>
  <si>
    <t>Experiencing fulfillment occurs when your leader recognizes you for doing a good job.</t>
  </si>
  <si>
    <t>A leader who motivates me gives me a sense of contentment and satisfaction with my job and the responsibilities I have.</t>
  </si>
  <si>
    <t>A leader's attention to staffs emotional needs is not considered essential in promoting job satisfaction</t>
  </si>
  <si>
    <t>It is not appropriate to exhibit personal feelings in the workplace.</t>
  </si>
  <si>
    <t>Leaders should possess the ability to remain impartial in the workplace.</t>
  </si>
  <si>
    <t>Having a leader who can comprehend the emotional needs of their team and respond appropriately enhances the overall work quality.</t>
  </si>
  <si>
    <t>Being mindful of and responsive to the perspectives and concerns of employees is crucial in fostering favorable work results.</t>
  </si>
  <si>
    <t>A leader who lacks empathy negatively affects my well-being and job satisfaction.</t>
  </si>
  <si>
    <t>When my leader communicates with me and listens well it improves my well-being and overall contentment with my job</t>
  </si>
  <si>
    <t>When my leader practices fairness and respect in their decision making it makes me feel valued</t>
  </si>
  <si>
    <t>A Leaders ability to effectively balance emotions and logic has a negative impact on my job satisfaction.</t>
  </si>
  <si>
    <t>A leader's capacity to motivate and direct others during challenging situations is a vital factor in preserving my job satisfaction.</t>
  </si>
  <si>
    <t>Leaders who work towards achieving a win-win outcome through effective communication with others contribute to your job fulfillment..</t>
  </si>
  <si>
    <t>Having a leader who lacks charisma and empathy, and is not in tune with your emotions, negatively affects your overall well-being.</t>
  </si>
  <si>
    <t>A leader's ability to motivate and steer their team, even in challenging circumstances, enhances job satisfaction in the workplace.</t>
  </si>
  <si>
    <t>A good leader who can motivate you to accept change and work efficiently towards the company's goals makes you feel successful.</t>
  </si>
  <si>
    <t>1= strongly disagree, 2= disagree, 3=neutral, 4=agree, 5=strongly agree</t>
  </si>
  <si>
    <t>1= male, 2= female</t>
  </si>
  <si>
    <t>1=enrolled nurse, 2=registered nurse, 3=nursing officer</t>
  </si>
  <si>
    <t>1=gratly satisfied, 2=moderately satisfied, 3=poorly satisfied</t>
  </si>
  <si>
    <t>1=certificate, 2=college degree, 3=postgrad, 4=specialty</t>
  </si>
  <si>
    <t>1= &gt;1year, 2 = 5-10years, 3= 11-15years, 4= 16-20years, 5= &gt;20years</t>
  </si>
  <si>
    <t>1= &lt;20yrs, 2= 20-29years, 3= 30-39years, 4= 40- 49years, 5= 50 - 59years, 6 = 60+ years</t>
  </si>
  <si>
    <t>Research Questions:</t>
  </si>
  <si>
    <t>What is the impact of nurse leader’s emotional intelligence on subordinate staff job satisfaction?</t>
  </si>
  <si>
    <r>
      <t xml:space="preserve">Effective communication from one's leaders is a primary determinant of job satisfaction. </t>
    </r>
    <r>
      <rPr>
        <b/>
        <sz val="11"/>
        <color theme="1"/>
        <rFont val="Calibri"/>
        <family val="2"/>
        <scheme val="minor"/>
      </rPr>
      <t>(overall Satisfaction)</t>
    </r>
  </si>
  <si>
    <r>
      <t xml:space="preserve">Feeling valued by management improve your job satisfaction? </t>
    </r>
    <r>
      <rPr>
        <b/>
        <sz val="11"/>
        <color theme="1"/>
        <rFont val="Calibri"/>
        <family val="2"/>
        <scheme val="minor"/>
      </rPr>
      <t>(overall Satisfaction)</t>
    </r>
  </si>
  <si>
    <r>
      <t>Your job satisfaction is dependent on your supervisor's social navigation skills.</t>
    </r>
    <r>
      <rPr>
        <b/>
        <sz val="11"/>
        <color theme="1"/>
        <rFont val="Calibri"/>
        <family val="2"/>
        <scheme val="minor"/>
      </rPr>
      <t xml:space="preserve"> (overall Satisfaction)</t>
    </r>
  </si>
  <si>
    <r>
      <t xml:space="preserve">Does the perceived level of competence of your leader effect your job satisfaction? </t>
    </r>
    <r>
      <rPr>
        <b/>
        <sz val="11"/>
        <color theme="1"/>
        <rFont val="Calibri"/>
        <family val="2"/>
        <scheme val="minor"/>
      </rPr>
      <t>(overall Satisfaction)</t>
    </r>
  </si>
  <si>
    <t xml:space="preserve">Age </t>
  </si>
  <si>
    <t>feelings and emotions, to discriminate among them and to use this information to guide one's thinking and actions</t>
  </si>
  <si>
    <t>The questionaire is arranged to assess each individual subset of emotional intelligenc affect on job satisfaction (contentment, fulfillment, well-being etc)</t>
  </si>
  <si>
    <t>employee overall level of job satisfaction</t>
  </si>
  <si>
    <t>Self-Awareness 1</t>
  </si>
  <si>
    <t>Self-Awareness 2</t>
  </si>
  <si>
    <t>Self-Awareness 3</t>
  </si>
  <si>
    <t>Self-Awareness 4</t>
  </si>
  <si>
    <t>Self-Awareness 5</t>
  </si>
  <si>
    <t>Self-Awareness 6</t>
  </si>
  <si>
    <t>Self-Reflection 1</t>
  </si>
  <si>
    <t>Self-Reflection 2</t>
  </si>
  <si>
    <t>Self-Reflection 3</t>
  </si>
  <si>
    <t>Self-Reflection 4</t>
  </si>
  <si>
    <t>Self-Reflection 5</t>
  </si>
  <si>
    <t>Self-Reflection 6</t>
  </si>
  <si>
    <t>Self-Reflection 7</t>
  </si>
  <si>
    <t>Self-Reflection 8</t>
  </si>
  <si>
    <t>Motivation 1</t>
  </si>
  <si>
    <t>Motivation 2</t>
  </si>
  <si>
    <t>Motivation 3</t>
  </si>
  <si>
    <t>Motivation 4</t>
  </si>
  <si>
    <t>Motivation 5</t>
  </si>
  <si>
    <t>Motivation 6</t>
  </si>
  <si>
    <t>Empathy 1</t>
  </si>
  <si>
    <t>Empathy 2</t>
  </si>
  <si>
    <t>Empathy 3</t>
  </si>
  <si>
    <t>Empathy 4</t>
  </si>
  <si>
    <t>Empathy 5</t>
  </si>
  <si>
    <t>Empathy 6</t>
  </si>
  <si>
    <t>Empathy 7</t>
  </si>
  <si>
    <t>Empathy 8</t>
  </si>
  <si>
    <t>Social Skills 1</t>
  </si>
  <si>
    <t>Social Skills 2</t>
  </si>
  <si>
    <t>Social Skills 3</t>
  </si>
  <si>
    <t>Social Skills 4</t>
  </si>
  <si>
    <t>Social Skills 5</t>
  </si>
  <si>
    <t>Social Skills 6</t>
  </si>
  <si>
    <t>Level (Job)</t>
  </si>
  <si>
    <t>Having a strong relationship with supervisors contribute to your job satisfaction?  (overall Satisfaction)</t>
  </si>
  <si>
    <t>Satisf3</t>
  </si>
  <si>
    <t>Satisf4</t>
  </si>
  <si>
    <t>Satisf5</t>
  </si>
  <si>
    <t>Satisf6</t>
  </si>
  <si>
    <t>Satisf1</t>
  </si>
  <si>
    <t>Satisf2</t>
  </si>
  <si>
    <t>Age Freq</t>
  </si>
  <si>
    <t>Gend Freq</t>
  </si>
  <si>
    <t>Freq</t>
  </si>
  <si>
    <t>Pos</t>
  </si>
  <si>
    <t>Exper</t>
  </si>
  <si>
    <t>Educ</t>
  </si>
  <si>
    <t>JobLvl</t>
  </si>
  <si>
    <t>Pos Freq</t>
  </si>
  <si>
    <t>Exper Freq</t>
  </si>
  <si>
    <t>JobLvl Freq</t>
  </si>
  <si>
    <t>Educ Freq</t>
  </si>
  <si>
    <t>Satis 1</t>
  </si>
  <si>
    <t>Satis 2</t>
  </si>
  <si>
    <t>Satis 3</t>
  </si>
  <si>
    <t>Satis 4</t>
  </si>
  <si>
    <t>Satis 5</t>
  </si>
  <si>
    <t>Satis 6</t>
  </si>
  <si>
    <t>Bin</t>
  </si>
  <si>
    <t>Satis</t>
  </si>
  <si>
    <r>
      <t>Your job satisfaction is affected by your supervisor's inability to comprehend your emotions in the workplace. (</t>
    </r>
    <r>
      <rPr>
        <b/>
        <sz val="11"/>
        <color theme="1"/>
        <rFont val="Calibri"/>
        <family val="2"/>
        <scheme val="minor"/>
      </rPr>
      <t>overall Satisfaction)</t>
    </r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</si>
  <si>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</si>
  <si>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</si>
  <si>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</si>
  <si>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</si>
  <si>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</si>
  <si>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</si>
  <si>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</si>
  <si>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</si>
  <si>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</si>
  <si>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</si>
  <si>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</si>
  <si>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</si>
  <si>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</si>
  <si>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</si>
  <si>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Valued by Management</t>
  </si>
  <si>
    <t>Effective communications</t>
  </si>
  <si>
    <t>Supervisor social skills</t>
  </si>
  <si>
    <t>Perceived leader competency</t>
  </si>
  <si>
    <t>Inability to comprehen emotions</t>
  </si>
  <si>
    <t>Strong relations</t>
  </si>
  <si>
    <t>Satis Lev</t>
  </si>
  <si>
    <t>Description</t>
  </si>
  <si>
    <t>Stat 2</t>
  </si>
  <si>
    <t>Stat 3</t>
  </si>
  <si>
    <t>Stat 4</t>
  </si>
  <si>
    <t>Stat 1</t>
  </si>
  <si>
    <t>Stat 5</t>
  </si>
  <si>
    <t>Stat 6</t>
  </si>
  <si>
    <t>Box &amp; 
Whisker Plot</t>
  </si>
  <si>
    <t xml:space="preserve">Box &amp; 
Whisker </t>
  </si>
  <si>
    <t>F-Distribution</t>
  </si>
  <si>
    <t>Satisf 2</t>
  </si>
  <si>
    <t>Satisf 1</t>
  </si>
  <si>
    <t>Satisf 4 - J</t>
  </si>
  <si>
    <t>Satisf 5 - K</t>
  </si>
  <si>
    <t>Satisf 6 - L</t>
  </si>
  <si>
    <t>Self-Aware2 - H</t>
  </si>
  <si>
    <t>Self-Aware1 - G</t>
  </si>
  <si>
    <t>Satisf 3 - I</t>
  </si>
  <si>
    <t>Expected Satisf 1</t>
  </si>
  <si>
    <t>Test Stat</t>
  </si>
  <si>
    <t>Critic Val</t>
  </si>
  <si>
    <t>Alph</t>
  </si>
  <si>
    <t>DF</t>
  </si>
  <si>
    <t>P-Val</t>
  </si>
  <si>
    <t>&gt;0.05 ---Accept H0</t>
  </si>
  <si>
    <t xml:space="preserve">Conclusion: Fail to reject Ho - There is relationship between Age and Satisfaction 1; </t>
  </si>
  <si>
    <t>Expected Satisf 2</t>
  </si>
  <si>
    <t xml:space="preserve">Conclusion: Fail to reject Ho - There is relationship between Age and Satisfaction 2; </t>
  </si>
  <si>
    <t>Expected Satisf 3</t>
  </si>
  <si>
    <t>Expected Satisf 4</t>
  </si>
  <si>
    <t>Expected Satisf 5</t>
  </si>
  <si>
    <t>Expected Satisf 6</t>
  </si>
  <si>
    <t xml:space="preserve">Conclusion: Reject Ho - There is NO relationship between Age and Satisfaction 5; </t>
  </si>
  <si>
    <t xml:space="preserve">Conclusion: Reject Ho - There is NO relationship between Age and Satisfaction 6; </t>
  </si>
  <si>
    <t>Gender Freq</t>
  </si>
  <si>
    <t>1 (M)</t>
  </si>
  <si>
    <t>2 (F)</t>
  </si>
  <si>
    <t>&gt; 0.05 - Accept H0</t>
  </si>
  <si>
    <t xml:space="preserve">Conclusion: Fail to reject Ho - There is NO relationship between Age and Satisfaction 5; </t>
  </si>
  <si>
    <t xml:space="preserve">Conclusion: Fail to Reject Ho - There is NO relationship between Age and Satisfaction 6; </t>
  </si>
  <si>
    <t xml:space="preserve">Conclusion: REJECT Ho - There is NO relationship between Age and Satisfaction 5; </t>
  </si>
  <si>
    <t>&lt; 0.05 - Reject H0</t>
  </si>
  <si>
    <t>References</t>
  </si>
  <si>
    <t>Essential Excel for Business Stats &amp; Data Analysis</t>
  </si>
  <si>
    <t>Chi-Square: H0 = Independence between variables (one does not depend on the other);</t>
  </si>
  <si>
    <t>NO association between variables</t>
  </si>
  <si>
    <t>Statistics for DA using Excel 2016</t>
  </si>
  <si>
    <t>Adv Analytics with Excel - Data analysis toolpak/Solver</t>
  </si>
  <si>
    <t>Dealing with Categorical Data (Bite size)</t>
  </si>
  <si>
    <t>https://people.smp.uq.edu.au/YoniNazarathy/stat_models_B_course_spring_07/distributions/chisqtab.pdf</t>
  </si>
  <si>
    <t>Chi Table</t>
  </si>
  <si>
    <t>https://medium.com/@ritesh.110587/correlation-between-categorical-variables-63f6bd9bf2f7#:~:text=Chi%2DSquare%20test%20of%20independence,categorical%20variables%20is%20easily%20available.</t>
  </si>
  <si>
    <t>Correlation between Categorical Variables</t>
  </si>
  <si>
    <t>https://online.stat.psu.edu/stat100/lesson/6#:~:text=To%20study%20the%20relationship%20between,illustrates%20associations%20for%20measurement%20variables.</t>
  </si>
  <si>
    <t>Relationships Between Categorical Variables</t>
  </si>
  <si>
    <t>https://www.statgraphics.com/categorical-data-analysis</t>
  </si>
  <si>
    <t>Categorical Data Analysis</t>
  </si>
  <si>
    <t>https://ethanweed.github.io/pythonbook/05.01-chisquare.html</t>
  </si>
  <si>
    <t>https://www.brookes.ac.uk/students/academic-development/maths-and-stats/statistics/inferential-statistics/categorical-data</t>
  </si>
  <si>
    <t>Statistical Tests: Categorical Data</t>
  </si>
  <si>
    <t>https://www3.nd.edu/~rwilliam/stats1/x51.pdf</t>
  </si>
  <si>
    <t>https://sphweb.bumc.bu.edu/otlt/MPH-Modules/BS/R/R6_CategoricalDataAnalysis/R6_CategoricalDataAnalysis_print.html</t>
  </si>
  <si>
    <t>https://www.khanacademy.org/math/ap-statistics/analyzing-categorical-ap/stats-two-way-tables/v/two-way-frequency-tables-and-venn-diagrams</t>
  </si>
  <si>
    <t>Khan Academy</t>
  </si>
  <si>
    <t>https://www.youtube.com/watch?v=WF6cvErdY2c</t>
  </si>
  <si>
    <t>Categorical Data Analysis - Class 1</t>
  </si>
  <si>
    <t>https://www.youtube.com/watch?v=W95BgQCp_rQ</t>
  </si>
  <si>
    <t>Congtingency Table</t>
  </si>
  <si>
    <t>https://www.youtube.com/watch?v=3tJnGLATwMI</t>
  </si>
  <si>
    <t>Three Way Contingency Table</t>
  </si>
  <si>
    <t>https://www.youtube.com/watch?v=Zb9e3ArL1D8</t>
  </si>
  <si>
    <t>Three Way Tables</t>
  </si>
  <si>
    <t>https://www.youtube.com/watch?v=SEWLCC7ax5o&amp;list=PLaZuFfQk5gXOSdQ-7kGPVJDCJL7n6KnZa</t>
  </si>
  <si>
    <t>https://www.youtube.com/watch?v=ly3Lvd84RYc&amp;list=PLaZuFfQk5gXOSdQ-7kGPVJDCJL7n6KnZa&amp;index=2</t>
  </si>
  <si>
    <t>Pearson Chi-Sq</t>
  </si>
  <si>
    <t>Pearson</t>
  </si>
  <si>
    <t>https://www.youtube.com/watch?v=BAcG2TE5tmU</t>
  </si>
  <si>
    <t>How to do Cross Tabulation Analysis</t>
  </si>
  <si>
    <t>DU Marketing Research</t>
  </si>
  <si>
    <t>Title</t>
  </si>
  <si>
    <t>Link</t>
  </si>
  <si>
    <t>Author</t>
  </si>
  <si>
    <t>Udemy</t>
  </si>
  <si>
    <t>Grand Total</t>
  </si>
  <si>
    <t>Count of Satisf1</t>
  </si>
  <si>
    <t>Count of Satisf2</t>
  </si>
  <si>
    <t>https://www.youtube.com/watch?v=fzzUfa0-VsE</t>
  </si>
  <si>
    <t>ML Explained</t>
  </si>
  <si>
    <t>Correletion Among Categorical Variables Python</t>
  </si>
  <si>
    <t>https://mlexplained.blog/2023/01/23/how-to-calculate-correlation-among-categorical-variables/</t>
  </si>
  <si>
    <t>How to Calculate Correlation among Categorical Variables?</t>
  </si>
  <si>
    <t>https://www.youtube.com/watch?v=OqW7LBjU4uw</t>
  </si>
  <si>
    <t>Keith Lohse</t>
  </si>
  <si>
    <t>https://www.youtube.com/watch?v=xVBwXqnWPyE</t>
  </si>
  <si>
    <t>Regression with Categorical Independent Variable</t>
  </si>
  <si>
    <t>https://www.youtube.com/watch?v=3tq4t41MsPc&amp;t=0s</t>
  </si>
  <si>
    <t>Logistic Regression</t>
  </si>
  <si>
    <t>Multiple Categorical Predictore/One Way ANOVA</t>
  </si>
  <si>
    <t>DATAtab</t>
  </si>
  <si>
    <t>https://www.youtube.com/watch?v=j9YFazcAjB4</t>
  </si>
  <si>
    <t>Categorial Data Analysis in R</t>
  </si>
  <si>
    <t>ShaltayevBUSN231</t>
  </si>
  <si>
    <t>https://www.youtube.com/watch?v=W8ELro02w5c</t>
  </si>
  <si>
    <t>AIEngineering</t>
  </si>
  <si>
    <t>Statistical Thinking - Cramer's V Test - Categorical Association</t>
  </si>
  <si>
    <t>https://www.google.com/search?q=youtube%3A+cramer+v+analysis+in+Excel&amp;rlz=1C1GCEU_enBS1072BS1072&amp;oq=youtube%3A+cramer+v+analysis+in+Excel&amp;gs_lcrp=EgZjaHJvbWUyBggAEEUYOTIGCAEQRRg60gEKMTE4ODJqMGoxNagCALACAA&amp;sourceid=chrome&amp;ie=UTF-8#fpstate=ive&amp;ip=1&amp;vld=cid:182f0bc7,vid:_N2aSRTjIzk,st:0</t>
  </si>
  <si>
    <t>Cramers V</t>
  </si>
  <si>
    <t>https://www.youtube.com/watch?v=FZcnk4EYpek</t>
  </si>
  <si>
    <t>Concept - Cramer's V</t>
  </si>
  <si>
    <t>Stikpet</t>
  </si>
  <si>
    <t>https://www.youtube.com/watch?v=Cxu_IGZLgPI&amp;list=PL8XPveTjwRbRoncG1qerC_xCd36g0uPmn</t>
  </si>
  <si>
    <t xml:space="preserve">     Mixed Videos</t>
  </si>
  <si>
    <t>More</t>
  </si>
  <si>
    <t>Frequency</t>
  </si>
  <si>
    <t>Bins</t>
  </si>
  <si>
    <t>1</t>
  </si>
  <si>
    <t>Cramer V</t>
  </si>
  <si>
    <t>Cramer Formula</t>
  </si>
  <si>
    <t>Min(C, R) = 5</t>
  </si>
  <si>
    <t>N=136</t>
  </si>
  <si>
    <t>Chi=12.15977627</t>
  </si>
  <si>
    <t>Association Rules</t>
  </si>
  <si>
    <t>Strong: &gt; 0.6</t>
  </si>
  <si>
    <t>Moderate: 0.3 - 0.59</t>
  </si>
  <si>
    <t>Weak: 0 - 0.29</t>
  </si>
  <si>
    <t>Sqrt(Chi-Square/(N*Min(C,R)-1))</t>
  </si>
  <si>
    <t>N</t>
  </si>
  <si>
    <t>Min(R, C)-1</t>
  </si>
  <si>
    <t>Weak Correlation</t>
  </si>
  <si>
    <t>Min(C,R)-1</t>
  </si>
  <si>
    <t xml:space="preserve">Cramer's </t>
  </si>
  <si>
    <t>Weak</t>
  </si>
  <si>
    <t>CHECK</t>
  </si>
  <si>
    <t xml:space="preserve">Conclusion: Fail to reject Ho - 
Relationship is between Age &amp; Satisfaction 1; </t>
  </si>
  <si>
    <t>Row Labels</t>
  </si>
  <si>
    <t>Column Labels</t>
  </si>
  <si>
    <t>https://www.youtube.com/watch?v=JcCBIPqcwFo</t>
  </si>
  <si>
    <t>National Centre for Research Methods</t>
  </si>
  <si>
    <t>https://www.youtube.com/watch?v=fDjKa7yWk1U&amp;t=264s</t>
  </si>
  <si>
    <t>Dr. Bharatendra</t>
  </si>
  <si>
    <t>https://www.youtube.com/watch?v=Fwt5S9M6F0A</t>
  </si>
  <si>
    <t>DataTrek</t>
  </si>
  <si>
    <t>Multinomial Logistic Regression with R: Categorical Response</t>
  </si>
  <si>
    <t>https://www.youtube.com/watch?v=Bmya3yirFgs</t>
  </si>
  <si>
    <t>https://www.youtube.com/watch?v=V8fS0T_ktn4</t>
  </si>
  <si>
    <t>Kris Naik</t>
  </si>
  <si>
    <t>MultiClass Logistic Regression, Python</t>
  </si>
  <si>
    <t>Santhosh KJ</t>
  </si>
  <si>
    <t>Count of Satisf3</t>
  </si>
  <si>
    <t>Count of Satisf4</t>
  </si>
  <si>
    <t>Count of Satisf5</t>
  </si>
  <si>
    <t>Count of Satisf6</t>
  </si>
  <si>
    <t xml:space="preserve">Conclusion: Fail to reject Ho - Relationship is between Age &amp; Satisfaction 1; </t>
  </si>
  <si>
    <t>Min(R,C) - 1</t>
  </si>
  <si>
    <t>Weak Correl</t>
  </si>
  <si>
    <t xml:space="preserve">Conclusion: FAIL to REJECT Ho - There is NO relationship between Age and Satisfaction 5; </t>
  </si>
  <si>
    <t>JobLev</t>
  </si>
  <si>
    <t>Satisf 1 Expected Value</t>
  </si>
  <si>
    <t>CHI-SQUARE Cal Satisf 1</t>
  </si>
  <si>
    <t>Satisf 2 - H Count</t>
  </si>
  <si>
    <t>Satisf 1 Count - G</t>
  </si>
  <si>
    <t>Satisf 3 Count - I</t>
  </si>
  <si>
    <t>Satisf 4 Count - J</t>
  </si>
  <si>
    <t>Satisf 5 Count - K</t>
  </si>
  <si>
    <t>Satisf 6 Count - L</t>
  </si>
  <si>
    <t>Satisf 2 Expected Value</t>
  </si>
  <si>
    <t>Satisf 3 Expected Value</t>
  </si>
  <si>
    <t>Satisf 4 Expected Value</t>
  </si>
  <si>
    <t>Satisf 5 Expected Value</t>
  </si>
  <si>
    <t>Satisf 6 Expected Value</t>
  </si>
  <si>
    <t>CHI-SQUARE Cal Satisf 2</t>
  </si>
  <si>
    <t>CHI-SQUARE Cal Satisf 3</t>
  </si>
  <si>
    <t>CHI-SQUARE Cal Satisf 4</t>
  </si>
  <si>
    <t>CHI-SQUARE Cal Satisf 5</t>
  </si>
  <si>
    <t>CHI-SQUARE Cal Satisf 6</t>
  </si>
  <si>
    <t>NB: Check if &gt; 20% of F€ have &lt; 5</t>
  </si>
  <si>
    <t>Satisf 2 Count - H</t>
  </si>
  <si>
    <t>Satisf 6  Count - L</t>
  </si>
  <si>
    <t>Satisf 2 EV</t>
  </si>
  <si>
    <t>Satisf 3 EV</t>
  </si>
  <si>
    <t>Satisf 4 EV</t>
  </si>
  <si>
    <t>Satisf 5 EV</t>
  </si>
  <si>
    <t>Satisf 6 EV</t>
  </si>
  <si>
    <t>CHI-SQUARE Satisf 1</t>
  </si>
  <si>
    <t>CHI-SQUARE Satisf 2</t>
  </si>
  <si>
    <t>CHI-SQUARE Satisf 3</t>
  </si>
  <si>
    <t>CHI-SQUARE Satisf 4</t>
  </si>
  <si>
    <t>CHI-SQUARE Satisf 5</t>
  </si>
  <si>
    <t>CHI-SQUARE Satisf 6</t>
  </si>
  <si>
    <t>Practical Example using Multinomial Logistic Regression using Python</t>
  </si>
  <si>
    <t>Logistic Regression Multiclass Classification</t>
  </si>
  <si>
    <t>Multinominal Logisti Regression, Pr 1 Introd</t>
  </si>
  <si>
    <t>https://en.wikipedia.org/wiki/Multinomial_logistic_regression</t>
  </si>
  <si>
    <t>Multinomial Logistic Regression</t>
  </si>
  <si>
    <t>Satisf 1 Expected Value (EV)</t>
  </si>
  <si>
    <t>JobvLev</t>
  </si>
  <si>
    <t>https://www.youtube.com/watch?v=gt9_x_rhLR8</t>
  </si>
  <si>
    <t>Fisher's Exact Test</t>
  </si>
  <si>
    <t>Oxford Academic</t>
  </si>
  <si>
    <t>https://www.youtube.com/watch?v=nHa_Zc9PzR8</t>
  </si>
  <si>
    <t>Johnathan Perry</t>
  </si>
  <si>
    <t>https://www.google.com/search?q=youtube%3A+ordinal+regression+in+excel&amp;rlz=1C1GCEU_enBS1072BS1072&amp;oq=youtube%3A+ordinal+regression+in+excel&amp;gs_lcrp=EgZjaHJvbWUyBggAEEUYOTIGCAEQRRg60gEKMTA5MjFqMGoxNagCALACAA&amp;sourceid=chrome&amp;ie=UTF-8#fpstate=ive&amp;vld=cid:eb09870a,vid:Gsf_eXn8LKM,st:0</t>
  </si>
  <si>
    <t>Ordinal Logistic Regression</t>
  </si>
  <si>
    <t>SigmaXL Inc</t>
  </si>
  <si>
    <t>https://www.youtube.com/watch?v=rPcMcW25PPA</t>
  </si>
  <si>
    <t>Ordinal Regression</t>
  </si>
  <si>
    <t>https://www.youtube.com/watch?v=jWIJ7P1G9P4</t>
  </si>
  <si>
    <t>Introd to Ordinal Regression</t>
  </si>
  <si>
    <t>Dr Gregg Harbaugh</t>
  </si>
  <si>
    <t>Regression with Categorical Independent Variables</t>
  </si>
  <si>
    <t>https://www.youtube.com/watch?v=MPnNC6kkNC4</t>
  </si>
  <si>
    <t>Feature Engineering - Handle Categorical Features</t>
  </si>
  <si>
    <t>Krish Naik</t>
  </si>
  <si>
    <t>https://www.youtube.com/watch?v=w2GglmYHfmM</t>
  </si>
  <si>
    <t>Encoding Categorical Data</t>
  </si>
  <si>
    <t>CampusX</t>
  </si>
  <si>
    <t>https://github.com/campusx-official/100-days-of-machine-learning/tree/main/day26-ordinal-encoding</t>
  </si>
  <si>
    <t>100 Days of ML</t>
  </si>
  <si>
    <t>https://www.youtube.com/watch?v=uHteOFO84MM</t>
  </si>
  <si>
    <t>Likert Scale Data Analysis &amp; Interpretation of Results</t>
  </si>
  <si>
    <t>https://www.youtube.com/watch?v=FQeVy3h7tIg&amp;list=UULFfFpm86b7phy8cgPTUdaKOw</t>
  </si>
  <si>
    <t>Research with Dr Okolie</t>
  </si>
  <si>
    <t>Research with Dr. Okolie</t>
  </si>
  <si>
    <t>Mix Videos</t>
  </si>
  <si>
    <t>https://www.youtube.com/watch?v=V8fS0T_ktn4&amp;t=7s</t>
  </si>
  <si>
    <t>Logistic Regression Multiclass Cl;assification</t>
  </si>
  <si>
    <t>https://www.g2.com/products/ibm-spss-statistics/competitors/alternatives</t>
  </si>
  <si>
    <t>Top 10 SPSS Statistics Altetnatives &amp; Competitors</t>
  </si>
  <si>
    <t>https://real-statistics.com/multinomial-ordinal-logistic-regression/</t>
  </si>
  <si>
    <t>https://silverlakeconsult.com/blogs/what-is-spss-and-how-does-it-benefit-survey-data-analysis/#:~:text=SPSS%20Help%20is%20useful%20for,the%20dependent%20and%20independent%20variables.</t>
  </si>
  <si>
    <t>https://www.ibm.com/products/spss-statistics</t>
  </si>
  <si>
    <t>IBM SPSS Statistics</t>
  </si>
  <si>
    <t>https://www.ibm.com/docs/en/SSLVMB_29.0.0/pdf/GPL_Reference_Guide_for_IBM_SPSS_Statistics.pdf</t>
  </si>
  <si>
    <t>GPL Reference Guide for IBM SPSS Statistics</t>
  </si>
  <si>
    <t>https://mediacenter.ibm.com/esearch/search?keyword=Statistics%2028</t>
  </si>
  <si>
    <t>IBM SPSS Video</t>
  </si>
  <si>
    <t>https://www.ibm.com/docs/en/spss-statistics/29.0.0?topic=system-working-command-syntax</t>
  </si>
  <si>
    <t>IBM SPSS Working with Common Syntax</t>
  </si>
  <si>
    <t>https://myibm.ibm.com/products-services/manage/510632743/downloads</t>
  </si>
  <si>
    <t>My IBM Downloads</t>
  </si>
  <si>
    <r>
      <t>·</t>
    </r>
    <r>
      <rPr>
        <sz val="14"/>
        <color theme="1"/>
        <rFont val="Times New Roman"/>
        <family val="1"/>
      </rPr>
      <t>         How does self-awareness contribute to the impact of nurse leader emotional intelligence on subordinate staff job satisfaction?</t>
    </r>
  </si>
  <si>
    <r>
      <t>·</t>
    </r>
    <r>
      <rPr>
        <sz val="14"/>
        <color theme="1"/>
        <rFont val="Times New Roman"/>
        <family val="1"/>
      </rPr>
      <t>         How does self-regulation contribute to the impact of nurse leader emotional intelligence on subordinate staff job satisfaction?</t>
    </r>
  </si>
  <si>
    <r>
      <t>·</t>
    </r>
    <r>
      <rPr>
        <sz val="14"/>
        <color theme="1"/>
        <rFont val="Times New Roman"/>
        <family val="1"/>
      </rPr>
      <t>         How does motivation contribute to the impact of nurse leader emotional intelligence on subordinate staff job satisfaction?</t>
    </r>
  </si>
  <si>
    <r>
      <t>·</t>
    </r>
    <r>
      <rPr>
        <sz val="14"/>
        <color theme="1"/>
        <rFont val="Times New Roman"/>
        <family val="1"/>
      </rPr>
      <t>         How does empathy contribute to the impact of nurse leader emotional intelligence on subordinate staff job satisfaction?</t>
    </r>
  </si>
  <si>
    <r>
      <t>·</t>
    </r>
    <r>
      <rPr>
        <sz val="14"/>
        <color theme="1"/>
        <rFont val="Times New Roman"/>
        <family val="1"/>
      </rPr>
      <t>         How do social skills contribute to the impact of nurse leader emotional intelligence on subordinate staff job satisfaction?</t>
    </r>
  </si>
  <si>
    <r>
      <rPr>
        <b/>
        <sz val="14"/>
        <color theme="1"/>
        <rFont val="Calibri"/>
        <family val="2"/>
        <scheme val="minor"/>
      </rPr>
      <t xml:space="preserve">Emotional Intelligence: </t>
    </r>
    <r>
      <rPr>
        <sz val="14"/>
        <color theme="1"/>
        <rFont val="Calibri"/>
        <family val="2"/>
        <scheme val="minor"/>
      </rPr>
      <t xml:space="preserve">A subset of social intelligence that involves the ability to monitor one's own and other's </t>
    </r>
  </si>
  <si>
    <r>
      <t xml:space="preserve">There are 5 subsets of emotional inteligence: </t>
    </r>
    <r>
      <rPr>
        <b/>
        <sz val="14"/>
        <color theme="1"/>
        <rFont val="Calibri"/>
        <family val="2"/>
        <scheme val="minor"/>
      </rPr>
      <t>self-awareness, self-reflection, motivation, empathy, and social skills</t>
    </r>
  </si>
  <si>
    <t>https://www.youtube.com/watch?v=nbdRgKLMUEA</t>
  </si>
  <si>
    <t>How to Create Multi-Question Summary Charts</t>
  </si>
  <si>
    <t>https://www.youtube.com/watch?v=p4TEVkL_BMc</t>
  </si>
  <si>
    <t>Grouping Likert Questionnaire Items into Continuous variables for Correlation &amp; Regression</t>
  </si>
  <si>
    <t>Dr. Okolie</t>
  </si>
  <si>
    <t>https://www.youtube.com/watch?v=k1jxs2xaUXI</t>
  </si>
  <si>
    <t>How to  Analyze and Interpret LIKERT-SCALE Questionnaire Using SPSS</t>
  </si>
  <si>
    <t>Obezip Academy</t>
  </si>
  <si>
    <t>https://www.youtube.com/watch?v=e6PLpuuk8Eo&amp;list=PLh3jcneCqxkhzK7CCpSqnjY3zdCPIjI5I&amp;index=10</t>
  </si>
  <si>
    <t>Excel and SPSS: LIKERT-SCALE Data Analysis Using Regression in Excel and SPSS</t>
  </si>
  <si>
    <t>https://www.theanalysisfactor.com/pspp-the-free-open-source-version-of-spss/#:~:text=PSPP%20%2D%20the%20free%2C%20open%20source,of%20SPSS%20%2D%20The%20Analysis%20Factor</t>
  </si>
  <si>
    <t>PSPP - the Free Open Source Version of SPSS</t>
  </si>
  <si>
    <t>Dr. Jennifer Taylor</t>
  </si>
  <si>
    <t>https://www.youtube.com/watch?v=L01wB2e-IOA</t>
  </si>
  <si>
    <t>Pearson Correlation with Likert Scale Data in SPSS</t>
  </si>
  <si>
    <t>https://www.youtube.com/watch?v=WCy45vC9_4w</t>
  </si>
  <si>
    <t>Dr. Sumeet Bakshi</t>
  </si>
  <si>
    <t>https://www.youtube.com/watch?v=P76sELMvo-I</t>
  </si>
  <si>
    <t>My Easy Statistifcs</t>
  </si>
  <si>
    <t>https://www.youtube.com/watch?v=c7u1Ml-3Now</t>
  </si>
  <si>
    <t>Multiple Linear Regression with Likert Scale Datsa</t>
  </si>
  <si>
    <t>https://www.youtube.com/watch?v=38f_SmsE7ic</t>
  </si>
  <si>
    <t>Mohamed Benhima</t>
  </si>
  <si>
    <t>What is SPSS Data Analysis and How does it Benefit for Survey Data</t>
  </si>
  <si>
    <t>Correlation In Likert Scale Variables</t>
  </si>
  <si>
    <t>https://www.youtube.com/watch?v=_GbIBtg5yG0</t>
  </si>
  <si>
    <t>Multiple Regression (Hierarchical) with 5 point Likert Scale Data in SPSS</t>
  </si>
  <si>
    <t>OverAllSatis</t>
  </si>
  <si>
    <t>Motivate</t>
  </si>
  <si>
    <t>Empathy</t>
  </si>
  <si>
    <t>SocialSkill</t>
  </si>
  <si>
    <t>SelfAware</t>
  </si>
  <si>
    <t>SelfReflect</t>
  </si>
  <si>
    <t>Kurt</t>
  </si>
  <si>
    <t>Variable</t>
  </si>
  <si>
    <t>Note</t>
  </si>
  <si>
    <t>https://www.youtube.com/watch?v=qeshHCmJ_jk</t>
  </si>
  <si>
    <t>Normality Test with Likert Scale Data in SPSS</t>
  </si>
  <si>
    <t>How to Analyse Likert scale using Regression and Interpret the Resu;ts</t>
  </si>
  <si>
    <t>How to do Regression Analysis for Likert Scale Data? Ordinal Logistic</t>
  </si>
  <si>
    <t>PARAMETER ESTIMATES</t>
  </si>
  <si>
    <t>Type Brand</t>
  </si>
  <si>
    <t>Exp(Estimates)</t>
  </si>
  <si>
    <t>Estimate</t>
  </si>
  <si>
    <t>https://www.youtube.com/watch?v=9ZVU519fGgs</t>
  </si>
  <si>
    <t>Payback Ethiopia</t>
  </si>
  <si>
    <t xml:space="preserve">FUN, TRAVELING and </t>
  </si>
  <si>
    <t>Multiple Regression Analysis in SPSS (Beginners)</t>
  </si>
  <si>
    <t>Research Questipn 2</t>
  </si>
  <si>
    <t>B</t>
  </si>
  <si>
    <t>Exp(B)</t>
  </si>
  <si>
    <t>SelfAware 4</t>
  </si>
  <si>
    <t>SelfAware 3</t>
  </si>
  <si>
    <t>SelfAware 5</t>
  </si>
  <si>
    <t>Categories</t>
  </si>
  <si>
    <t>GREATLY SATISFIED</t>
  </si>
  <si>
    <t>MODERATELY SATISFIED</t>
  </si>
  <si>
    <t>POORLY SATISFIED</t>
  </si>
  <si>
    <t/>
  </si>
  <si>
    <t>60+</t>
  </si>
  <si>
    <t>Row N %</t>
  </si>
  <si>
    <t>OverAllSatis 1</t>
  </si>
  <si>
    <t>Strongly Disagree</t>
  </si>
  <si>
    <t>Disagree</t>
  </si>
  <si>
    <t>Neutral</t>
  </si>
  <si>
    <t>Agree</t>
  </si>
  <si>
    <t>Strongly Agree</t>
  </si>
  <si>
    <t>OverAllSatis 2</t>
  </si>
  <si>
    <t>OverAllSatis 3</t>
  </si>
  <si>
    <t>OverAllSatis 4</t>
  </si>
  <si>
    <t>OverAllSatis 5</t>
  </si>
  <si>
    <t>OverAllSatis 6</t>
  </si>
  <si>
    <t>40 - 49</t>
  </si>
  <si>
    <t>50 - 59</t>
  </si>
  <si>
    <t>20 - 29</t>
  </si>
  <si>
    <t>30 - 39</t>
  </si>
  <si>
    <t>Age  by OVerAllSatis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</si>
</sst>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"/>
    <numFmt numFmtId="165" formatCode="0.0000"/>
    <numFmt numFmtId="171" formatCode="###0.0%"/>
  </numFmts>
  <fonts count="5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9" tint="0.3999755851924192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2"/>
      <color theme="10"/>
      <name val="Calibri"/>
      <family val="2"/>
      <scheme val="minor"/>
    </font>
    <font>
      <b/>
      <sz val="14"/>
      <color theme="1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0"/>
      <name val="Calibri"/>
      <family val="2"/>
      <scheme val="minor"/>
    </font>
    <font>
      <b/>
      <sz val="11"/>
      <color theme="10"/>
      <name val="Calibri"/>
      <family val="2"/>
      <scheme val="minor"/>
    </font>
    <font>
      <sz val="12"/>
      <color theme="10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B0F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color theme="1"/>
      <name val="Symbol"/>
      <family val="1"/>
      <charset val="2"/>
    </font>
    <font>
      <b/>
      <sz val="14"/>
      <color theme="1"/>
      <name val="Times New Roman"/>
      <family val="1"/>
    </font>
    <font>
      <b/>
      <sz val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2"/>
      <color theme="9" tint="0.3999755851924192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2"/>
      <color indexed="60"/>
      <name val="Arial"/>
      <family val="2"/>
    </font>
    <font>
      <sz val="12"/>
      <color indexed="8"/>
      <name val="Arial"/>
      <family val="2"/>
    </font>
    <font>
      <sz val="12"/>
      <color rgb="FFFF0000"/>
      <name val="Arial"/>
      <family val="2"/>
    </font>
    <font>
      <sz val="12"/>
      <color theme="4"/>
      <name val="Arial"/>
      <family val="2"/>
    </font>
    <font>
      <sz val="12"/>
      <color rgb="FF00B0F0"/>
      <name val="Arial"/>
      <family val="2"/>
    </font>
    <font>
      <sz val="12"/>
      <name val="Arial"/>
      <family val="2"/>
    </font>
    <font>
      <sz val="11"/>
      <color indexed="6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/>
      <right style="thin">
        <color indexed="62"/>
      </right>
      <top/>
      <bottom/>
      <diagonal/>
    </border>
    <border>
      <left/>
      <right/>
      <top/>
      <bottom style="thin">
        <color indexed="61"/>
      </bottom>
      <diagonal/>
    </border>
    <border>
      <left style="thin">
        <color indexed="62"/>
      </left>
      <right style="thin">
        <color indexed="62"/>
      </right>
      <top/>
      <bottom style="thin">
        <color indexed="61"/>
      </bottom>
      <diagonal/>
    </border>
    <border>
      <left style="thin">
        <color indexed="62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1"/>
      </top>
      <bottom style="thin">
        <color indexed="63"/>
      </bottom>
      <diagonal/>
    </border>
    <border>
      <left style="thin">
        <color indexed="62"/>
      </left>
      <right/>
      <top style="thin">
        <color indexed="61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1"/>
      </bottom>
      <diagonal/>
    </border>
    <border>
      <left style="thin">
        <color indexed="62"/>
      </left>
      <right style="thin">
        <color indexed="62"/>
      </right>
      <top style="thin">
        <color indexed="63"/>
      </top>
      <bottom style="thin">
        <color indexed="61"/>
      </bottom>
      <diagonal/>
    </border>
    <border>
      <left style="thin">
        <color indexed="62"/>
      </left>
      <right/>
      <top style="thin">
        <color indexed="63"/>
      </top>
      <bottom style="thin">
        <color indexed="61"/>
      </bottom>
      <diagonal/>
    </border>
  </borders>
  <cellStyleXfs count="3">
    <xf numFmtId="0" fontId="0" fillId="0" borderId="0"/>
    <xf numFmtId="0" fontId="16" fillId="0" borderId="0" applyNumberFormat="0" applyFill="0" applyBorder="0" applyAlignment="0" applyProtection="0"/>
    <xf numFmtId="0" fontId="43" fillId="0" borderId="0"/>
  </cellStyleXfs>
  <cellXfs count="139">
    <xf numFmtId="0" fontId="0" fillId="0" borderId="0" xfId="0"/>
    <xf numFmtId="0" fontId="0" fillId="0" borderId="0" xfId="0" applyBorder="1"/>
    <xf numFmtId="0" fontId="1" fillId="0" borderId="0" xfId="0" applyFont="1"/>
    <xf numFmtId="0" fontId="0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  <xf numFmtId="0" fontId="8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4" borderId="0" xfId="0" applyFill="1"/>
    <xf numFmtId="0" fontId="1" fillId="5" borderId="0" xfId="0" applyFont="1" applyFill="1" applyAlignment="1">
      <alignment horizontal="center"/>
    </xf>
    <xf numFmtId="0" fontId="0" fillId="5" borderId="0" xfId="0" applyFill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6" borderId="5" xfId="0" applyFont="1" applyFill="1" applyBorder="1" applyAlignment="1">
      <alignment horizontal="center"/>
    </xf>
    <xf numFmtId="0" fontId="0" fillId="6" borderId="5" xfId="0" applyFill="1" applyBorder="1"/>
    <xf numFmtId="0" fontId="0" fillId="0" borderId="5" xfId="0" applyBorder="1"/>
    <xf numFmtId="0" fontId="0" fillId="0" borderId="0" xfId="0" applyFill="1" applyBorder="1" applyAlignment="1"/>
    <xf numFmtId="0" fontId="7" fillId="0" borderId="0" xfId="0" applyFont="1" applyFill="1" applyBorder="1" applyAlignment="1"/>
    <xf numFmtId="0" fontId="1" fillId="0" borderId="0" xfId="0" applyFont="1" applyAlignment="1">
      <alignment wrapText="1"/>
    </xf>
    <xf numFmtId="0" fontId="11" fillId="2" borderId="0" xfId="0" applyFont="1" applyFill="1"/>
    <xf numFmtId="0" fontId="12" fillId="0" borderId="6" xfId="0" applyFont="1" applyFill="1" applyBorder="1" applyAlignment="1">
      <alignment horizontal="center"/>
    </xf>
    <xf numFmtId="0" fontId="11" fillId="0" borderId="0" xfId="0" applyFont="1" applyFill="1" applyBorder="1" applyAlignment="1"/>
    <xf numFmtId="0" fontId="13" fillId="0" borderId="0" xfId="0" applyFont="1" applyFill="1" applyBorder="1" applyAlignment="1"/>
    <xf numFmtId="0" fontId="14" fillId="0" borderId="0" xfId="0" applyFont="1" applyFill="1" applyBorder="1" applyAlignment="1"/>
    <xf numFmtId="0" fontId="13" fillId="0" borderId="4" xfId="0" applyFont="1" applyFill="1" applyBorder="1" applyAlignment="1"/>
    <xf numFmtId="0" fontId="11" fillId="0" borderId="4" xfId="0" applyFont="1" applyFill="1" applyBorder="1" applyAlignment="1"/>
    <xf numFmtId="0" fontId="9" fillId="0" borderId="6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Continuous"/>
    </xf>
    <xf numFmtId="0" fontId="13" fillId="0" borderId="0" xfId="0" applyFont="1" applyAlignment="1">
      <alignment horizontal="center"/>
    </xf>
    <xf numFmtId="0" fontId="11" fillId="0" borderId="0" xfId="0" applyFont="1"/>
    <xf numFmtId="0" fontId="14" fillId="0" borderId="0" xfId="0" applyFont="1"/>
    <xf numFmtId="0" fontId="16" fillId="0" borderId="0" xfId="1"/>
    <xf numFmtId="0" fontId="1" fillId="0" borderId="0" xfId="0" applyFont="1" applyAlignment="1">
      <alignment horizontal="center"/>
    </xf>
    <xf numFmtId="0" fontId="1" fillId="2" borderId="0" xfId="0" applyFont="1" applyFill="1"/>
    <xf numFmtId="0" fontId="8" fillId="2" borderId="0" xfId="0" applyFont="1" applyFill="1"/>
    <xf numFmtId="0" fontId="17" fillId="0" borderId="0" xfId="1" applyFont="1"/>
    <xf numFmtId="0" fontId="18" fillId="0" borderId="0" xfId="0" applyFont="1"/>
    <xf numFmtId="0" fontId="19" fillId="0" borderId="0" xfId="1" applyFont="1"/>
    <xf numFmtId="0" fontId="20" fillId="0" borderId="0" xfId="1" applyFont="1"/>
    <xf numFmtId="0" fontId="1" fillId="0" borderId="0" xfId="0" applyFont="1" applyAlignment="1">
      <alignment horizontal="center"/>
    </xf>
    <xf numFmtId="0" fontId="21" fillId="0" borderId="0" xfId="1" applyFont="1"/>
    <xf numFmtId="0" fontId="7" fillId="0" borderId="0" xfId="0" applyFont="1"/>
    <xf numFmtId="0" fontId="22" fillId="0" borderId="0" xfId="0" applyFont="1"/>
    <xf numFmtId="0" fontId="23" fillId="0" borderId="0" xfId="1" applyFont="1"/>
    <xf numFmtId="0" fontId="17" fillId="0" borderId="0" xfId="0" applyFont="1"/>
    <xf numFmtId="0" fontId="24" fillId="0" borderId="0" xfId="1" applyFont="1"/>
    <xf numFmtId="0" fontId="25" fillId="0" borderId="0" xfId="1" applyFont="1"/>
    <xf numFmtId="0" fontId="1" fillId="0" borderId="0" xfId="0" applyFont="1" applyAlignment="1">
      <alignment horizontal="center"/>
    </xf>
    <xf numFmtId="0" fontId="26" fillId="0" borderId="0" xfId="1" applyFont="1"/>
    <xf numFmtId="0" fontId="21" fillId="0" borderId="0" xfId="0" applyFont="1"/>
    <xf numFmtId="0" fontId="18" fillId="0" borderId="0" xfId="1" applyFont="1"/>
    <xf numFmtId="0" fontId="27" fillId="0" borderId="0" xfId="1" applyFont="1"/>
    <xf numFmtId="0" fontId="28" fillId="0" borderId="0" xfId="1" applyFont="1"/>
    <xf numFmtId="0" fontId="8" fillId="6" borderId="5" xfId="0" applyFont="1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NumberFormat="1"/>
    <xf numFmtId="0" fontId="10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Continuous"/>
    </xf>
    <xf numFmtId="0" fontId="0" fillId="0" borderId="0" xfId="0" applyNumberFormat="1" applyFill="1" applyBorder="1" applyAlignment="1"/>
    <xf numFmtId="0" fontId="0" fillId="0" borderId="4" xfId="0" applyFill="1" applyBorder="1" applyAlignment="1"/>
    <xf numFmtId="0" fontId="9" fillId="0" borderId="6" xfId="0" applyFont="1" applyFill="1" applyBorder="1" applyAlignment="1">
      <alignment horizontal="centerContinuous"/>
    </xf>
    <xf numFmtId="0" fontId="0" fillId="0" borderId="0" xfId="0" quotePrefix="1"/>
    <xf numFmtId="0" fontId="0" fillId="0" borderId="0" xfId="0" applyAlignment="1">
      <alignment vertical="top" wrapText="1"/>
    </xf>
    <xf numFmtId="0" fontId="29" fillId="0" borderId="0" xfId="0" applyFont="1"/>
    <xf numFmtId="0" fontId="30" fillId="0" borderId="0" xfId="0" applyFont="1"/>
    <xf numFmtId="0" fontId="28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left"/>
    </xf>
    <xf numFmtId="0" fontId="31" fillId="0" borderId="0" xfId="0" applyFont="1"/>
    <xf numFmtId="0" fontId="32" fillId="0" borderId="0" xfId="1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8" fillId="0" borderId="0" xfId="0" applyFont="1" applyAlignment="1"/>
    <xf numFmtId="0" fontId="33" fillId="0" borderId="0" xfId="0" applyFont="1" applyAlignment="1">
      <alignment vertical="top" wrapText="1"/>
    </xf>
    <xf numFmtId="0" fontId="34" fillId="0" borderId="1" xfId="0" applyFont="1" applyFill="1" applyBorder="1" applyAlignment="1">
      <alignment horizontal="center"/>
    </xf>
    <xf numFmtId="0" fontId="35" fillId="0" borderId="2" xfId="0" applyFont="1" applyBorder="1" applyAlignment="1">
      <alignment vertical="center"/>
    </xf>
    <xf numFmtId="0" fontId="36" fillId="0" borderId="2" xfId="0" applyFont="1" applyBorder="1" applyAlignment="1">
      <alignment horizontal="left" vertical="center" indent="5"/>
    </xf>
    <xf numFmtId="0" fontId="36" fillId="0" borderId="3" xfId="0" applyFont="1" applyBorder="1" applyAlignment="1">
      <alignment horizontal="left" vertical="center" indent="5"/>
    </xf>
    <xf numFmtId="0" fontId="37" fillId="0" borderId="0" xfId="0" applyFont="1" applyAlignment="1">
      <alignment vertical="center"/>
    </xf>
    <xf numFmtId="0" fontId="31" fillId="0" borderId="0" xfId="0" applyFont="1" applyBorder="1"/>
    <xf numFmtId="0" fontId="31" fillId="0" borderId="0" xfId="0" applyFont="1" applyFill="1" applyBorder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0" fillId="4" borderId="0" xfId="0" applyFill="1" applyAlignment="1">
      <alignment horizontal="center"/>
    </xf>
    <xf numFmtId="0" fontId="8" fillId="4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44" fillId="0" borderId="0" xfId="2" applyFont="1" applyBorder="1" applyAlignment="1">
      <alignment horizontal="left" wrapText="1"/>
    </xf>
    <xf numFmtId="0" fontId="44" fillId="0" borderId="13" xfId="2" applyFont="1" applyBorder="1" applyAlignment="1">
      <alignment horizontal="center" wrapText="1"/>
    </xf>
    <xf numFmtId="0" fontId="43" fillId="0" borderId="0" xfId="2"/>
    <xf numFmtId="0" fontId="44" fillId="0" borderId="14" xfId="2" applyFont="1" applyBorder="1" applyAlignment="1">
      <alignment horizontal="left" wrapText="1"/>
    </xf>
    <xf numFmtId="0" fontId="44" fillId="7" borderId="17" xfId="2" applyFont="1" applyFill="1" applyBorder="1" applyAlignment="1">
      <alignment horizontal="left" vertical="top" wrapText="1"/>
    </xf>
    <xf numFmtId="0" fontId="44" fillId="7" borderId="17" xfId="2" applyFont="1" applyFill="1" applyBorder="1" applyAlignment="1">
      <alignment horizontal="left" vertical="top" wrapText="1"/>
    </xf>
    <xf numFmtId="171" fontId="45" fillId="8" borderId="18" xfId="2" applyNumberFormat="1" applyFont="1" applyFill="1" applyBorder="1" applyAlignment="1">
      <alignment horizontal="right" vertical="top"/>
    </xf>
    <xf numFmtId="0" fontId="44" fillId="7" borderId="20" xfId="2" applyFont="1" applyFill="1" applyBorder="1" applyAlignment="1">
      <alignment horizontal="left" vertical="top" wrapText="1"/>
    </xf>
    <xf numFmtId="0" fontId="44" fillId="7" borderId="20" xfId="2" applyFont="1" applyFill="1" applyBorder="1" applyAlignment="1">
      <alignment horizontal="left" vertical="top" wrapText="1"/>
    </xf>
    <xf numFmtId="171" fontId="45" fillId="8" borderId="21" xfId="2" applyNumberFormat="1" applyFont="1" applyFill="1" applyBorder="1" applyAlignment="1">
      <alignment horizontal="right" vertical="top"/>
    </xf>
    <xf numFmtId="0" fontId="44" fillId="7" borderId="23" xfId="2" applyFont="1" applyFill="1" applyBorder="1" applyAlignment="1">
      <alignment horizontal="left" vertical="top" wrapText="1"/>
    </xf>
    <xf numFmtId="0" fontId="44" fillId="7" borderId="23" xfId="2" applyFont="1" applyFill="1" applyBorder="1" applyAlignment="1">
      <alignment horizontal="left" vertical="top" wrapText="1"/>
    </xf>
    <xf numFmtId="171" fontId="45" fillId="8" borderId="24" xfId="2" applyNumberFormat="1" applyFont="1" applyFill="1" applyBorder="1" applyAlignment="1">
      <alignment horizontal="right" vertical="top"/>
    </xf>
    <xf numFmtId="171" fontId="46" fillId="8" borderId="21" xfId="2" applyNumberFormat="1" applyFont="1" applyFill="1" applyBorder="1" applyAlignment="1">
      <alignment horizontal="right" vertical="top"/>
    </xf>
    <xf numFmtId="171" fontId="46" fillId="8" borderId="18" xfId="2" applyNumberFormat="1" applyFont="1" applyFill="1" applyBorder="1" applyAlignment="1">
      <alignment horizontal="right" vertical="top"/>
    </xf>
    <xf numFmtId="171" fontId="46" fillId="8" borderId="22" xfId="2" applyNumberFormat="1" applyFont="1" applyFill="1" applyBorder="1" applyAlignment="1">
      <alignment horizontal="right" vertical="top"/>
    </xf>
    <xf numFmtId="171" fontId="46" fillId="8" borderId="24" xfId="2" applyNumberFormat="1" applyFont="1" applyFill="1" applyBorder="1" applyAlignment="1">
      <alignment horizontal="right" vertical="top"/>
    </xf>
    <xf numFmtId="171" fontId="47" fillId="8" borderId="22" xfId="2" applyNumberFormat="1" applyFont="1" applyFill="1" applyBorder="1" applyAlignment="1">
      <alignment horizontal="right" vertical="top"/>
    </xf>
    <xf numFmtId="171" fontId="48" fillId="8" borderId="22" xfId="2" applyNumberFormat="1" applyFont="1" applyFill="1" applyBorder="1" applyAlignment="1">
      <alignment horizontal="right" vertical="top"/>
    </xf>
    <xf numFmtId="171" fontId="48" fillId="8" borderId="21" xfId="2" applyNumberFormat="1" applyFont="1" applyFill="1" applyBorder="1" applyAlignment="1">
      <alignment horizontal="right" vertical="top"/>
    </xf>
    <xf numFmtId="171" fontId="49" fillId="8" borderId="21" xfId="2" applyNumberFormat="1" applyFont="1" applyFill="1" applyBorder="1" applyAlignment="1">
      <alignment horizontal="right" vertical="top"/>
    </xf>
    <xf numFmtId="171" fontId="48" fillId="8" borderId="24" xfId="2" applyNumberFormat="1" applyFont="1" applyFill="1" applyBorder="1" applyAlignment="1">
      <alignment horizontal="right" vertical="top"/>
    </xf>
    <xf numFmtId="171" fontId="48" fillId="8" borderId="25" xfId="2" applyNumberFormat="1" applyFont="1" applyFill="1" applyBorder="1" applyAlignment="1">
      <alignment horizontal="right" vertical="top"/>
    </xf>
    <xf numFmtId="0" fontId="50" fillId="3" borderId="13" xfId="2" applyFont="1" applyFill="1" applyBorder="1" applyAlignment="1">
      <alignment horizontal="center" wrapText="1"/>
    </xf>
    <xf numFmtId="0" fontId="50" fillId="3" borderId="0" xfId="2" applyFont="1" applyFill="1" applyBorder="1" applyAlignment="1">
      <alignment horizontal="center" wrapText="1"/>
    </xf>
    <xf numFmtId="0" fontId="50" fillId="3" borderId="15" xfId="2" applyFont="1" applyFill="1" applyBorder="1" applyAlignment="1">
      <alignment horizontal="center" wrapText="1"/>
    </xf>
    <xf numFmtId="0" fontId="50" fillId="3" borderId="16" xfId="2" applyFont="1" applyFill="1" applyBorder="1" applyAlignment="1">
      <alignment horizontal="center" wrapText="1"/>
    </xf>
    <xf numFmtId="171" fontId="47" fillId="8" borderId="18" xfId="2" applyNumberFormat="1" applyFont="1" applyFill="1" applyBorder="1" applyAlignment="1">
      <alignment horizontal="right" vertical="top"/>
    </xf>
    <xf numFmtId="171" fontId="47" fillId="8" borderId="19" xfId="2" applyNumberFormat="1" applyFont="1" applyFill="1" applyBorder="1" applyAlignment="1">
      <alignment horizontal="right" vertical="top"/>
    </xf>
    <xf numFmtId="171" fontId="47" fillId="8" borderId="21" xfId="2" applyNumberFormat="1" applyFont="1" applyFill="1" applyBorder="1" applyAlignment="1">
      <alignment horizontal="right" vertical="top"/>
    </xf>
  </cellXfs>
  <cellStyles count="3">
    <cellStyle name="Hyperlink" xfId="1" builtinId="8"/>
    <cellStyle name="Normal" xfId="0" builtinId="0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Experience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9597942614781833"/>
          <c:y val="0.26578665617264136"/>
          <c:w val="0.55103765913524239"/>
          <c:h val="0.38341464004467291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'Emot_Satis_Tallies Plots'!$U$40:$U$44</c:f>
              <c:strCach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More</c:v>
                </c:pt>
              </c:strCache>
            </c:strRef>
          </c:cat>
          <c:val>
            <c:numRef>
              <c:f>'Emot_Satis_Tallies Plots'!$V$40:$V$44</c:f>
              <c:numCache>
                <c:formatCode>General</c:formatCode>
                <c:ptCount val="5"/>
                <c:pt idx="0">
                  <c:v>115</c:v>
                </c:pt>
                <c:pt idx="1">
                  <c:v>21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67-4C0C-8923-B4392BAD8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37693519"/>
        <c:axId val="1237698095"/>
      </c:barChart>
      <c:catAx>
        <c:axId val="1237693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7698095"/>
        <c:crosses val="autoZero"/>
        <c:auto val="1"/>
        <c:lblAlgn val="ctr"/>
        <c:lblOffset val="100"/>
        <c:noMultiLvlLbl val="0"/>
      </c:catAx>
      <c:valAx>
        <c:axId val="1237698095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3769351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Education</a:t>
            </a:r>
          </a:p>
        </c:rich>
      </c:tx>
      <c:layout>
        <c:manualLayout>
          <c:xMode val="edge"/>
          <c:yMode val="edge"/>
          <c:x val="0.35637228017442824"/>
          <c:y val="4.18808341870721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'Emot_Satis_Tallies Plots'!$T$57:$T$60</c:f>
              <c:strCache>
                <c:ptCount val="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More</c:v>
                </c:pt>
              </c:strCache>
            </c:strRef>
          </c:cat>
          <c:val>
            <c:numRef>
              <c:f>'Emot_Satis_Tallies Plots'!$U$57:$U$60</c:f>
              <c:numCache>
                <c:formatCode>General</c:formatCode>
                <c:ptCount val="4"/>
                <c:pt idx="0">
                  <c:v>100</c:v>
                </c:pt>
                <c:pt idx="1">
                  <c:v>13</c:v>
                </c:pt>
                <c:pt idx="2">
                  <c:v>23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1A-455C-AEB4-D9B840211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9719279"/>
        <c:axId val="1329741327"/>
      </c:barChart>
      <c:catAx>
        <c:axId val="13297192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9741327"/>
        <c:crosses val="autoZero"/>
        <c:auto val="1"/>
        <c:lblAlgn val="ctr"/>
        <c:lblOffset val="100"/>
        <c:noMultiLvlLbl val="0"/>
      </c:catAx>
      <c:valAx>
        <c:axId val="1329741327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297192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Job</a:t>
            </a:r>
            <a:r>
              <a:rPr lang="en-US" baseline="0"/>
              <a:t> Level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'Emot_Satis_Tallies Plots'!$T$77:$T$79</c:f>
              <c:strCache>
                <c:ptCount val="3"/>
                <c:pt idx="0">
                  <c:v>2</c:v>
                </c:pt>
                <c:pt idx="1">
                  <c:v>3</c:v>
                </c:pt>
                <c:pt idx="2">
                  <c:v>More</c:v>
                </c:pt>
              </c:strCache>
            </c:strRef>
          </c:cat>
          <c:val>
            <c:numRef>
              <c:f>'Emot_Satis_Tallies Plots'!$U$77:$U$79</c:f>
              <c:numCache>
                <c:formatCode>General</c:formatCode>
                <c:ptCount val="3"/>
                <c:pt idx="0">
                  <c:v>111</c:v>
                </c:pt>
                <c:pt idx="1">
                  <c:v>25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7B-4EE6-8FCC-EEB572968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4844655"/>
        <c:axId val="2004827599"/>
      </c:barChart>
      <c:catAx>
        <c:axId val="2004844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4827599"/>
        <c:crosses val="autoZero"/>
        <c:auto val="1"/>
        <c:lblAlgn val="ctr"/>
        <c:lblOffset val="100"/>
        <c:noMultiLvlLbl val="0"/>
      </c:catAx>
      <c:valAx>
        <c:axId val="200482759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0484465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Position</a:t>
            </a:r>
          </a:p>
        </c:rich>
      </c:tx>
      <c:layout>
        <c:manualLayout>
          <c:xMode val="edge"/>
          <c:yMode val="edge"/>
          <c:x val="0.33509075415213324"/>
          <c:y val="6.9761552815263165E-3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'Emot_Satis_Tallies Plots'!$T$23:$T$25</c:f>
              <c:strCache>
                <c:ptCount val="3"/>
                <c:pt idx="0">
                  <c:v>2</c:v>
                </c:pt>
                <c:pt idx="1">
                  <c:v>3</c:v>
                </c:pt>
                <c:pt idx="2">
                  <c:v>More</c:v>
                </c:pt>
              </c:strCache>
            </c:strRef>
          </c:cat>
          <c:val>
            <c:numRef>
              <c:f>'Emot_Satis_Tallies Plots'!$U$23:$U$25</c:f>
              <c:numCache>
                <c:formatCode>General</c:formatCode>
                <c:ptCount val="3"/>
                <c:pt idx="0">
                  <c:v>115</c:v>
                </c:pt>
                <c:pt idx="1">
                  <c:v>21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C2-452F-AAC6-0AA4A96E96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566063"/>
        <c:axId val="57575631"/>
      </c:barChart>
      <c:catAx>
        <c:axId val="575660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575631"/>
        <c:crosses val="autoZero"/>
        <c:auto val="1"/>
        <c:lblAlgn val="ctr"/>
        <c:lblOffset val="100"/>
        <c:noMultiLvlLbl val="0"/>
      </c:catAx>
      <c:valAx>
        <c:axId val="5757563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5660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Age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'Emot_Satis_Tallies Plots'!$T$94:$T$99</c:f>
              <c:strCache>
                <c:ptCount val="6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More</c:v>
                </c:pt>
              </c:strCache>
            </c:strRef>
          </c:cat>
          <c:val>
            <c:numRef>
              <c:f>'Emot_Satis_Tallies Plots'!$U$94:$U$99</c:f>
              <c:numCache>
                <c:formatCode>General</c:formatCode>
                <c:ptCount val="6"/>
                <c:pt idx="0">
                  <c:v>24</c:v>
                </c:pt>
                <c:pt idx="1">
                  <c:v>45</c:v>
                </c:pt>
                <c:pt idx="2">
                  <c:v>22</c:v>
                </c:pt>
                <c:pt idx="3">
                  <c:v>35</c:v>
                </c:pt>
                <c:pt idx="4">
                  <c:v>10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C8-4BD6-B4AD-E40F72BF9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1779600"/>
        <c:axId val="191775024"/>
      </c:barChart>
      <c:catAx>
        <c:axId val="191779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775024"/>
        <c:crosses val="autoZero"/>
        <c:auto val="1"/>
        <c:lblAlgn val="ctr"/>
        <c:lblOffset val="100"/>
        <c:noMultiLvlLbl val="0"/>
      </c:catAx>
      <c:valAx>
        <c:axId val="19177502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91779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Satisfaction</a:t>
            </a:r>
            <a:r>
              <a:rPr lang="en-US" baseline="0"/>
              <a:t> Groups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'Emot_Satis_Tallies Plots'!$N$112:$T$113</c:f>
              <c:multiLvlStrCache>
                <c:ptCount val="7"/>
                <c:lvl>
                  <c:pt idx="0">
                    <c:v>Bin</c:v>
                  </c:pt>
                  <c:pt idx="1">
                    <c:v>Freq</c:v>
                  </c:pt>
                  <c:pt idx="2">
                    <c:v>Freq</c:v>
                  </c:pt>
                  <c:pt idx="3">
                    <c:v>Freq</c:v>
                  </c:pt>
                  <c:pt idx="4">
                    <c:v>Freq</c:v>
                  </c:pt>
                  <c:pt idx="5">
                    <c:v>Freq</c:v>
                  </c:pt>
                  <c:pt idx="6">
                    <c:v>Freq</c:v>
                  </c:pt>
                </c:lvl>
                <c:lvl>
                  <c:pt idx="0">
                    <c:v>Satis</c:v>
                  </c:pt>
                  <c:pt idx="1">
                    <c:v>Satis 1</c:v>
                  </c:pt>
                  <c:pt idx="2">
                    <c:v>Satis 2</c:v>
                  </c:pt>
                  <c:pt idx="3">
                    <c:v>Satis 3</c:v>
                  </c:pt>
                  <c:pt idx="4">
                    <c:v>Satis 4</c:v>
                  </c:pt>
                  <c:pt idx="5">
                    <c:v>Satis 5</c:v>
                  </c:pt>
                  <c:pt idx="6">
                    <c:v>Satis 6</c:v>
                  </c:pt>
                </c:lvl>
              </c:multiLvlStrCache>
            </c:multiLvlStrRef>
          </c:cat>
          <c:val>
            <c:numRef>
              <c:f>'Emot_Satis_Tallies Plots'!$N$114:$T$114</c:f>
              <c:numCache>
                <c:formatCode>General</c:formatCode>
                <c:ptCount val="7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0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0-4FCB-BE3A-49CD1644688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'Emot_Satis_Tallies Plots'!$N$112:$T$113</c:f>
              <c:multiLvlStrCache>
                <c:ptCount val="7"/>
                <c:lvl>
                  <c:pt idx="0">
                    <c:v>Bin</c:v>
                  </c:pt>
                  <c:pt idx="1">
                    <c:v>Freq</c:v>
                  </c:pt>
                  <c:pt idx="2">
                    <c:v>Freq</c:v>
                  </c:pt>
                  <c:pt idx="3">
                    <c:v>Freq</c:v>
                  </c:pt>
                  <c:pt idx="4">
                    <c:v>Freq</c:v>
                  </c:pt>
                  <c:pt idx="5">
                    <c:v>Freq</c:v>
                  </c:pt>
                  <c:pt idx="6">
                    <c:v>Freq</c:v>
                  </c:pt>
                </c:lvl>
                <c:lvl>
                  <c:pt idx="0">
                    <c:v>Satis</c:v>
                  </c:pt>
                  <c:pt idx="1">
                    <c:v>Satis 1</c:v>
                  </c:pt>
                  <c:pt idx="2">
                    <c:v>Satis 2</c:v>
                  </c:pt>
                  <c:pt idx="3">
                    <c:v>Satis 3</c:v>
                  </c:pt>
                  <c:pt idx="4">
                    <c:v>Satis 4</c:v>
                  </c:pt>
                  <c:pt idx="5">
                    <c:v>Satis 5</c:v>
                  </c:pt>
                  <c:pt idx="6">
                    <c:v>Satis 6</c:v>
                  </c:pt>
                </c:lvl>
              </c:multiLvlStrCache>
            </c:multiLvlStrRef>
          </c:cat>
          <c:val>
            <c:numRef>
              <c:f>'Emot_Satis_Tallies Plots'!$N$115:$T$115</c:f>
              <c:numCache>
                <c:formatCode>General</c:formatCode>
                <c:ptCount val="7"/>
                <c:pt idx="0">
                  <c:v>2</c:v>
                </c:pt>
                <c:pt idx="1">
                  <c:v>15</c:v>
                </c:pt>
                <c:pt idx="2">
                  <c:v>8</c:v>
                </c:pt>
                <c:pt idx="3">
                  <c:v>8</c:v>
                </c:pt>
                <c:pt idx="4">
                  <c:v>28</c:v>
                </c:pt>
                <c:pt idx="5">
                  <c:v>17</c:v>
                </c:pt>
                <c:pt idx="6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30-4FCB-BE3A-49CD1644688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'Emot_Satis_Tallies Plots'!$N$112:$T$113</c:f>
              <c:multiLvlStrCache>
                <c:ptCount val="7"/>
                <c:lvl>
                  <c:pt idx="0">
                    <c:v>Bin</c:v>
                  </c:pt>
                  <c:pt idx="1">
                    <c:v>Freq</c:v>
                  </c:pt>
                  <c:pt idx="2">
                    <c:v>Freq</c:v>
                  </c:pt>
                  <c:pt idx="3">
                    <c:v>Freq</c:v>
                  </c:pt>
                  <c:pt idx="4">
                    <c:v>Freq</c:v>
                  </c:pt>
                  <c:pt idx="5">
                    <c:v>Freq</c:v>
                  </c:pt>
                  <c:pt idx="6">
                    <c:v>Freq</c:v>
                  </c:pt>
                </c:lvl>
                <c:lvl>
                  <c:pt idx="0">
                    <c:v>Satis</c:v>
                  </c:pt>
                  <c:pt idx="1">
                    <c:v>Satis 1</c:v>
                  </c:pt>
                  <c:pt idx="2">
                    <c:v>Satis 2</c:v>
                  </c:pt>
                  <c:pt idx="3">
                    <c:v>Satis 3</c:v>
                  </c:pt>
                  <c:pt idx="4">
                    <c:v>Satis 4</c:v>
                  </c:pt>
                  <c:pt idx="5">
                    <c:v>Satis 5</c:v>
                  </c:pt>
                  <c:pt idx="6">
                    <c:v>Satis 6</c:v>
                  </c:pt>
                </c:lvl>
              </c:multiLvlStrCache>
            </c:multiLvlStrRef>
          </c:cat>
          <c:val>
            <c:numRef>
              <c:f>'Emot_Satis_Tallies Plots'!$N$116:$T$116</c:f>
              <c:numCache>
                <c:formatCode>General</c:formatCode>
                <c:ptCount val="7"/>
                <c:pt idx="0">
                  <c:v>3</c:v>
                </c:pt>
                <c:pt idx="1">
                  <c:v>44</c:v>
                </c:pt>
                <c:pt idx="2">
                  <c:v>13</c:v>
                </c:pt>
                <c:pt idx="3">
                  <c:v>13</c:v>
                </c:pt>
                <c:pt idx="4">
                  <c:v>55</c:v>
                </c:pt>
                <c:pt idx="5">
                  <c:v>28</c:v>
                </c:pt>
                <c:pt idx="6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30-4FCB-BE3A-49CD16446887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'Emot_Satis_Tallies Plots'!$N$112:$T$113</c:f>
              <c:multiLvlStrCache>
                <c:ptCount val="7"/>
                <c:lvl>
                  <c:pt idx="0">
                    <c:v>Bin</c:v>
                  </c:pt>
                  <c:pt idx="1">
                    <c:v>Freq</c:v>
                  </c:pt>
                  <c:pt idx="2">
                    <c:v>Freq</c:v>
                  </c:pt>
                  <c:pt idx="3">
                    <c:v>Freq</c:v>
                  </c:pt>
                  <c:pt idx="4">
                    <c:v>Freq</c:v>
                  </c:pt>
                  <c:pt idx="5">
                    <c:v>Freq</c:v>
                  </c:pt>
                  <c:pt idx="6">
                    <c:v>Freq</c:v>
                  </c:pt>
                </c:lvl>
                <c:lvl>
                  <c:pt idx="0">
                    <c:v>Satis</c:v>
                  </c:pt>
                  <c:pt idx="1">
                    <c:v>Satis 1</c:v>
                  </c:pt>
                  <c:pt idx="2">
                    <c:v>Satis 2</c:v>
                  </c:pt>
                  <c:pt idx="3">
                    <c:v>Satis 3</c:v>
                  </c:pt>
                  <c:pt idx="4">
                    <c:v>Satis 4</c:v>
                  </c:pt>
                  <c:pt idx="5">
                    <c:v>Satis 5</c:v>
                  </c:pt>
                  <c:pt idx="6">
                    <c:v>Satis 6</c:v>
                  </c:pt>
                </c:lvl>
              </c:multiLvlStrCache>
            </c:multiLvlStrRef>
          </c:cat>
          <c:val>
            <c:numRef>
              <c:f>'Emot_Satis_Tallies Plots'!$N$117:$T$117</c:f>
              <c:numCache>
                <c:formatCode>General</c:formatCode>
                <c:ptCount val="7"/>
                <c:pt idx="0">
                  <c:v>4</c:v>
                </c:pt>
                <c:pt idx="1">
                  <c:v>49</c:v>
                </c:pt>
                <c:pt idx="2">
                  <c:v>58</c:v>
                </c:pt>
                <c:pt idx="3">
                  <c:v>58</c:v>
                </c:pt>
                <c:pt idx="4">
                  <c:v>37</c:v>
                </c:pt>
                <c:pt idx="5">
                  <c:v>63</c:v>
                </c:pt>
                <c:pt idx="6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30-4FCB-BE3A-49CD16446887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'Emot_Satis_Tallies Plots'!$N$112:$T$113</c:f>
              <c:multiLvlStrCache>
                <c:ptCount val="7"/>
                <c:lvl>
                  <c:pt idx="0">
                    <c:v>Bin</c:v>
                  </c:pt>
                  <c:pt idx="1">
                    <c:v>Freq</c:v>
                  </c:pt>
                  <c:pt idx="2">
                    <c:v>Freq</c:v>
                  </c:pt>
                  <c:pt idx="3">
                    <c:v>Freq</c:v>
                  </c:pt>
                  <c:pt idx="4">
                    <c:v>Freq</c:v>
                  </c:pt>
                  <c:pt idx="5">
                    <c:v>Freq</c:v>
                  </c:pt>
                  <c:pt idx="6">
                    <c:v>Freq</c:v>
                  </c:pt>
                </c:lvl>
                <c:lvl>
                  <c:pt idx="0">
                    <c:v>Satis</c:v>
                  </c:pt>
                  <c:pt idx="1">
                    <c:v>Satis 1</c:v>
                  </c:pt>
                  <c:pt idx="2">
                    <c:v>Satis 2</c:v>
                  </c:pt>
                  <c:pt idx="3">
                    <c:v>Satis 3</c:v>
                  </c:pt>
                  <c:pt idx="4">
                    <c:v>Satis 4</c:v>
                  </c:pt>
                  <c:pt idx="5">
                    <c:v>Satis 5</c:v>
                  </c:pt>
                  <c:pt idx="6">
                    <c:v>Satis 6</c:v>
                  </c:pt>
                </c:lvl>
              </c:multiLvlStrCache>
            </c:multiLvlStrRef>
          </c:cat>
          <c:val>
            <c:numRef>
              <c:f>'Emot_Satis_Tallies Plots'!$N$118:$T$118</c:f>
              <c:numCache>
                <c:formatCode>General</c:formatCode>
                <c:ptCount val="7"/>
                <c:pt idx="0">
                  <c:v>5</c:v>
                </c:pt>
                <c:pt idx="1">
                  <c:v>25</c:v>
                </c:pt>
                <c:pt idx="2">
                  <c:v>56</c:v>
                </c:pt>
                <c:pt idx="3">
                  <c:v>56</c:v>
                </c:pt>
                <c:pt idx="4">
                  <c:v>12</c:v>
                </c:pt>
                <c:pt idx="5">
                  <c:v>28</c:v>
                </c:pt>
                <c:pt idx="6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30-4FCB-BE3A-49CD16446887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'Emot_Satis_Tallies Plots'!$N$112:$T$113</c:f>
              <c:multiLvlStrCache>
                <c:ptCount val="7"/>
                <c:lvl>
                  <c:pt idx="0">
                    <c:v>Bin</c:v>
                  </c:pt>
                  <c:pt idx="1">
                    <c:v>Freq</c:v>
                  </c:pt>
                  <c:pt idx="2">
                    <c:v>Freq</c:v>
                  </c:pt>
                  <c:pt idx="3">
                    <c:v>Freq</c:v>
                  </c:pt>
                  <c:pt idx="4">
                    <c:v>Freq</c:v>
                  </c:pt>
                  <c:pt idx="5">
                    <c:v>Freq</c:v>
                  </c:pt>
                  <c:pt idx="6">
                    <c:v>Freq</c:v>
                  </c:pt>
                </c:lvl>
                <c:lvl>
                  <c:pt idx="0">
                    <c:v>Satis</c:v>
                  </c:pt>
                  <c:pt idx="1">
                    <c:v>Satis 1</c:v>
                  </c:pt>
                  <c:pt idx="2">
                    <c:v>Satis 2</c:v>
                  </c:pt>
                  <c:pt idx="3">
                    <c:v>Satis 3</c:v>
                  </c:pt>
                  <c:pt idx="4">
                    <c:v>Satis 4</c:v>
                  </c:pt>
                  <c:pt idx="5">
                    <c:v>Satis 5</c:v>
                  </c:pt>
                  <c:pt idx="6">
                    <c:v>Satis 6</c:v>
                  </c:pt>
                </c:lvl>
              </c:multiLvlStrCache>
            </c:multiLvlStrRef>
          </c:cat>
          <c:val>
            <c:numRef>
              <c:f>'Emot_Satis_Tallies Plots'!$N$119:$T$119</c:f>
              <c:numCache>
                <c:formatCode>General</c:formatCode>
                <c:ptCount val="7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30-4FCB-BE3A-49CD16446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0507759"/>
        <c:axId val="820509839"/>
      </c:barChart>
      <c:catAx>
        <c:axId val="820507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509839"/>
        <c:crosses val="autoZero"/>
        <c:auto val="1"/>
        <c:lblAlgn val="ctr"/>
        <c:lblOffset val="100"/>
        <c:noMultiLvlLbl val="0"/>
      </c:catAx>
      <c:valAx>
        <c:axId val="82050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507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307570</xdr:colOff>
      <xdr:row>38</xdr:row>
      <xdr:rowOff>30134</xdr:rowOff>
    </xdr:from>
    <xdr:to>
      <xdr:col>28</xdr:col>
      <xdr:colOff>312073</xdr:colOff>
      <xdr:row>48</xdr:row>
      <xdr:rowOff>22514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577389</xdr:colOff>
      <xdr:row>56</xdr:row>
      <xdr:rowOff>30134</xdr:rowOff>
    </xdr:from>
    <xdr:to>
      <xdr:col>27</xdr:col>
      <xdr:colOff>590897</xdr:colOff>
      <xdr:row>69</xdr:row>
      <xdr:rowOff>103909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8659</xdr:colOff>
      <xdr:row>75</xdr:row>
      <xdr:rowOff>164523</xdr:rowOff>
    </xdr:from>
    <xdr:to>
      <xdr:col>28</xdr:col>
      <xdr:colOff>597477</xdr:colOff>
      <xdr:row>88</xdr:row>
      <xdr:rowOff>8659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15585</xdr:colOff>
      <xdr:row>25</xdr:row>
      <xdr:rowOff>177338</xdr:rowOff>
    </xdr:from>
    <xdr:to>
      <xdr:col>26</xdr:col>
      <xdr:colOff>8659</xdr:colOff>
      <xdr:row>35</xdr:row>
      <xdr:rowOff>179416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606135</xdr:colOff>
      <xdr:row>92</xdr:row>
      <xdr:rowOff>0</xdr:rowOff>
    </xdr:from>
    <xdr:to>
      <xdr:col>30</xdr:col>
      <xdr:colOff>25977</xdr:colOff>
      <xdr:row>104</xdr:row>
      <xdr:rowOff>147205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0</xdr:colOff>
      <xdr:row>110</xdr:row>
      <xdr:rowOff>165389</xdr:rowOff>
    </xdr:from>
    <xdr:to>
      <xdr:col>28</xdr:col>
      <xdr:colOff>329046</xdr:colOff>
      <xdr:row>125</xdr:row>
      <xdr:rowOff>163658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lena Rolle" refreshedDate="45208.091878240739" createdVersion="6" refreshedVersion="6" minRefreshableVersion="3" recordCount="137">
  <cacheSource type="worksheet">
    <worksheetSource ref="N1:T1048576" sheet="Age Satis PivotTab"/>
  </cacheSource>
  <cacheFields count="7">
    <cacheField name="Age " numFmtId="0">
      <sharedItems containsString="0" containsBlank="1" containsNumber="1" containsInteger="1" minValue="2" maxValue="6" count="6">
        <n v="3"/>
        <n v="5"/>
        <n v="6"/>
        <n v="4"/>
        <n v="2"/>
        <m/>
      </sharedItems>
    </cacheField>
    <cacheField name="Satisf1" numFmtId="0">
      <sharedItems containsString="0" containsBlank="1" containsNumber="1" containsInteger="1" minValue="1" maxValue="5" count="6">
        <n v="3"/>
        <n v="2"/>
        <n v="4"/>
        <n v="5"/>
        <n v="1"/>
        <m/>
      </sharedItems>
    </cacheField>
    <cacheField name="Satisf2" numFmtId="0">
      <sharedItems containsString="0" containsBlank="1" containsNumber="1" containsInteger="1" minValue="1" maxValue="5" count="6">
        <n v="5"/>
        <n v="3"/>
        <n v="4"/>
        <n v="2"/>
        <n v="1"/>
        <m/>
      </sharedItems>
    </cacheField>
    <cacheField name="Satisf3" numFmtId="0">
      <sharedItems containsString="0" containsBlank="1" containsNumber="1" containsInteger="1" minValue="1" maxValue="5" count="6">
        <n v="4"/>
        <n v="5"/>
        <n v="3"/>
        <n v="1"/>
        <n v="2"/>
        <m/>
      </sharedItems>
    </cacheField>
    <cacheField name="Satisf4" numFmtId="0">
      <sharedItems containsString="0" containsBlank="1" containsNumber="1" containsInteger="1" minValue="1" maxValue="5" count="6">
        <n v="3"/>
        <n v="5"/>
        <n v="4"/>
        <n v="2"/>
        <n v="1"/>
        <m/>
      </sharedItems>
    </cacheField>
    <cacheField name="Satisf5" numFmtId="0">
      <sharedItems containsString="0" containsBlank="1" containsNumber="1" containsInteger="1" minValue="2" maxValue="5" count="5">
        <n v="4"/>
        <n v="3"/>
        <n v="2"/>
        <n v="5"/>
        <m/>
      </sharedItems>
    </cacheField>
    <cacheField name="Satisf6" numFmtId="0">
      <sharedItems containsString="0" containsBlank="1" containsNumber="1" containsInteger="1" minValue="1" maxValue="5" count="6">
        <n v="2"/>
        <n v="3"/>
        <n v="5"/>
        <n v="4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lena Rolle" refreshedDate="45208.390943634258" createdVersion="6" refreshedVersion="6" minRefreshableVersion="3" recordCount="137">
  <cacheSource type="worksheet">
    <worksheetSource ref="A1:H1048576" sheet="Age Satis PivotTab"/>
  </cacheSource>
  <cacheFields count="8">
    <cacheField name="Age " numFmtId="0">
      <sharedItems containsString="0" containsBlank="1" containsNumber="1" containsInteger="1" minValue="2" maxValue="6" count="6">
        <n v="3"/>
        <n v="5"/>
        <n v="6"/>
        <n v="4"/>
        <n v="2"/>
        <m/>
      </sharedItems>
    </cacheField>
    <cacheField name="Gender" numFmtId="0">
      <sharedItems containsString="0" containsBlank="1" containsNumber="1" containsInteger="1" minValue="1" maxValue="2"/>
    </cacheField>
    <cacheField name="Position" numFmtId="0">
      <sharedItems containsString="0" containsBlank="1" containsNumber="1" containsInteger="1" minValue="1" maxValue="3"/>
    </cacheField>
    <cacheField name="Experience" numFmtId="0">
      <sharedItems containsString="0" containsBlank="1" containsNumber="1" containsInteger="1" minValue="1" maxValue="5"/>
    </cacheField>
    <cacheField name="Education" numFmtId="0">
      <sharedItems containsString="0" containsBlank="1" containsNumber="1" containsInteger="1" minValue="1" maxValue="4"/>
    </cacheField>
    <cacheField name="Level (Job)" numFmtId="0">
      <sharedItems containsString="0" containsBlank="1" containsNumber="1" containsInteger="1" minValue="1" maxValue="3"/>
    </cacheField>
    <cacheField name="Satisf1" numFmtId="0">
      <sharedItems containsString="0" containsBlank="1" containsNumber="1" containsInteger="1" minValue="1" maxValue="5"/>
    </cacheField>
    <cacheField name="Satisf2" numFmtId="0">
      <sharedItems containsString="0" containsBlank="1" containsNumber="1" containsInteger="1" minValue="1" maxValue="5" count="6">
        <n v="5"/>
        <n v="3"/>
        <n v="4"/>
        <n v="2"/>
        <n v="1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elena Rolle" refreshedDate="45208.615264351851" createdVersion="6" refreshedVersion="6" minRefreshableVersion="3" recordCount="136">
  <cacheSource type="worksheet">
    <worksheetSource ref="N1:T137" sheet="Age Satis PivotTab"/>
  </cacheSource>
  <cacheFields count="7">
    <cacheField name="Age " numFmtId="0">
      <sharedItems containsSemiMixedTypes="0" containsString="0" containsNumber="1" containsInteger="1" minValue="2" maxValue="6" count="5">
        <n v="3"/>
        <n v="5"/>
        <n v="6"/>
        <n v="4"/>
        <n v="2"/>
      </sharedItems>
    </cacheField>
    <cacheField name="Satisf1" numFmtId="0">
      <sharedItems containsSemiMixedTypes="0" containsString="0" containsNumber="1" containsInteger="1" minValue="1" maxValue="5"/>
    </cacheField>
    <cacheField name="Satisf2" numFmtId="0">
      <sharedItems containsSemiMixedTypes="0" containsString="0" containsNumber="1" containsInteger="1" minValue="1" maxValue="5"/>
    </cacheField>
    <cacheField name="Satisf3" numFmtId="0">
      <sharedItems containsSemiMixedTypes="0" containsString="0" containsNumber="1" containsInteger="1" minValue="1" maxValue="5" count="5">
        <n v="4"/>
        <n v="5"/>
        <n v="3"/>
        <n v="1"/>
        <n v="2"/>
      </sharedItems>
    </cacheField>
    <cacheField name="Satisf4" numFmtId="0">
      <sharedItems containsSemiMixedTypes="0" containsString="0" containsNumber="1" containsInteger="1" minValue="1" maxValue="5" count="5">
        <n v="3"/>
        <n v="5"/>
        <n v="4"/>
        <n v="2"/>
        <n v="1"/>
      </sharedItems>
    </cacheField>
    <cacheField name="Satisf5" numFmtId="0">
      <sharedItems containsSemiMixedTypes="0" containsString="0" containsNumber="1" containsInteger="1" minValue="2" maxValue="5" count="4">
        <n v="4"/>
        <n v="3"/>
        <n v="2"/>
        <n v="5"/>
      </sharedItems>
    </cacheField>
    <cacheField name="Satisf6" numFmtId="0">
      <sharedItems containsSemiMixedTypes="0" containsString="0" containsNumber="1" containsInteger="1" minValue="1" maxValue="5" count="5">
        <n v="2"/>
        <n v="3"/>
        <n v="5"/>
        <n v="4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37">
  <r>
    <x v="0"/>
    <x v="0"/>
    <x v="0"/>
    <x v="0"/>
    <x v="0"/>
    <x v="0"/>
    <x v="0"/>
  </r>
  <r>
    <x v="1"/>
    <x v="0"/>
    <x v="0"/>
    <x v="0"/>
    <x v="0"/>
    <x v="0"/>
    <x v="1"/>
  </r>
  <r>
    <x v="0"/>
    <x v="1"/>
    <x v="1"/>
    <x v="0"/>
    <x v="0"/>
    <x v="0"/>
    <x v="0"/>
  </r>
  <r>
    <x v="1"/>
    <x v="0"/>
    <x v="1"/>
    <x v="1"/>
    <x v="0"/>
    <x v="1"/>
    <x v="1"/>
  </r>
  <r>
    <x v="1"/>
    <x v="0"/>
    <x v="2"/>
    <x v="2"/>
    <x v="0"/>
    <x v="1"/>
    <x v="1"/>
  </r>
  <r>
    <x v="0"/>
    <x v="0"/>
    <x v="2"/>
    <x v="1"/>
    <x v="1"/>
    <x v="2"/>
    <x v="1"/>
  </r>
  <r>
    <x v="1"/>
    <x v="2"/>
    <x v="2"/>
    <x v="1"/>
    <x v="2"/>
    <x v="0"/>
    <x v="2"/>
  </r>
  <r>
    <x v="2"/>
    <x v="2"/>
    <x v="2"/>
    <x v="1"/>
    <x v="0"/>
    <x v="0"/>
    <x v="1"/>
  </r>
  <r>
    <x v="2"/>
    <x v="2"/>
    <x v="1"/>
    <x v="0"/>
    <x v="3"/>
    <x v="0"/>
    <x v="1"/>
  </r>
  <r>
    <x v="1"/>
    <x v="0"/>
    <x v="2"/>
    <x v="0"/>
    <x v="0"/>
    <x v="0"/>
    <x v="3"/>
  </r>
  <r>
    <x v="0"/>
    <x v="2"/>
    <x v="0"/>
    <x v="0"/>
    <x v="2"/>
    <x v="0"/>
    <x v="2"/>
  </r>
  <r>
    <x v="3"/>
    <x v="3"/>
    <x v="0"/>
    <x v="1"/>
    <x v="0"/>
    <x v="3"/>
    <x v="0"/>
  </r>
  <r>
    <x v="3"/>
    <x v="3"/>
    <x v="0"/>
    <x v="0"/>
    <x v="2"/>
    <x v="1"/>
    <x v="1"/>
  </r>
  <r>
    <x v="3"/>
    <x v="0"/>
    <x v="3"/>
    <x v="0"/>
    <x v="3"/>
    <x v="1"/>
    <x v="0"/>
  </r>
  <r>
    <x v="1"/>
    <x v="0"/>
    <x v="0"/>
    <x v="0"/>
    <x v="0"/>
    <x v="0"/>
    <x v="0"/>
  </r>
  <r>
    <x v="0"/>
    <x v="0"/>
    <x v="1"/>
    <x v="0"/>
    <x v="3"/>
    <x v="2"/>
    <x v="0"/>
  </r>
  <r>
    <x v="1"/>
    <x v="3"/>
    <x v="1"/>
    <x v="0"/>
    <x v="0"/>
    <x v="2"/>
    <x v="4"/>
  </r>
  <r>
    <x v="3"/>
    <x v="0"/>
    <x v="2"/>
    <x v="1"/>
    <x v="2"/>
    <x v="3"/>
    <x v="3"/>
  </r>
  <r>
    <x v="1"/>
    <x v="2"/>
    <x v="0"/>
    <x v="0"/>
    <x v="3"/>
    <x v="0"/>
    <x v="0"/>
  </r>
  <r>
    <x v="1"/>
    <x v="2"/>
    <x v="2"/>
    <x v="1"/>
    <x v="2"/>
    <x v="3"/>
    <x v="1"/>
  </r>
  <r>
    <x v="0"/>
    <x v="4"/>
    <x v="2"/>
    <x v="0"/>
    <x v="3"/>
    <x v="0"/>
    <x v="0"/>
  </r>
  <r>
    <x v="3"/>
    <x v="2"/>
    <x v="0"/>
    <x v="1"/>
    <x v="2"/>
    <x v="0"/>
    <x v="3"/>
  </r>
  <r>
    <x v="3"/>
    <x v="1"/>
    <x v="2"/>
    <x v="1"/>
    <x v="1"/>
    <x v="0"/>
    <x v="2"/>
  </r>
  <r>
    <x v="4"/>
    <x v="2"/>
    <x v="0"/>
    <x v="1"/>
    <x v="0"/>
    <x v="0"/>
    <x v="1"/>
  </r>
  <r>
    <x v="0"/>
    <x v="0"/>
    <x v="2"/>
    <x v="0"/>
    <x v="0"/>
    <x v="1"/>
    <x v="3"/>
  </r>
  <r>
    <x v="0"/>
    <x v="0"/>
    <x v="2"/>
    <x v="0"/>
    <x v="3"/>
    <x v="0"/>
    <x v="3"/>
  </r>
  <r>
    <x v="0"/>
    <x v="3"/>
    <x v="0"/>
    <x v="1"/>
    <x v="0"/>
    <x v="3"/>
    <x v="2"/>
  </r>
  <r>
    <x v="0"/>
    <x v="4"/>
    <x v="0"/>
    <x v="0"/>
    <x v="0"/>
    <x v="3"/>
    <x v="1"/>
  </r>
  <r>
    <x v="0"/>
    <x v="3"/>
    <x v="3"/>
    <x v="1"/>
    <x v="1"/>
    <x v="3"/>
    <x v="2"/>
  </r>
  <r>
    <x v="1"/>
    <x v="1"/>
    <x v="3"/>
    <x v="0"/>
    <x v="4"/>
    <x v="2"/>
    <x v="0"/>
  </r>
  <r>
    <x v="2"/>
    <x v="3"/>
    <x v="2"/>
    <x v="1"/>
    <x v="1"/>
    <x v="3"/>
    <x v="3"/>
  </r>
  <r>
    <x v="0"/>
    <x v="0"/>
    <x v="0"/>
    <x v="0"/>
    <x v="0"/>
    <x v="0"/>
    <x v="1"/>
  </r>
  <r>
    <x v="0"/>
    <x v="3"/>
    <x v="2"/>
    <x v="0"/>
    <x v="0"/>
    <x v="3"/>
    <x v="3"/>
  </r>
  <r>
    <x v="1"/>
    <x v="2"/>
    <x v="0"/>
    <x v="1"/>
    <x v="2"/>
    <x v="1"/>
    <x v="3"/>
  </r>
  <r>
    <x v="1"/>
    <x v="2"/>
    <x v="0"/>
    <x v="0"/>
    <x v="0"/>
    <x v="3"/>
    <x v="3"/>
  </r>
  <r>
    <x v="1"/>
    <x v="3"/>
    <x v="2"/>
    <x v="0"/>
    <x v="1"/>
    <x v="0"/>
    <x v="0"/>
  </r>
  <r>
    <x v="0"/>
    <x v="3"/>
    <x v="0"/>
    <x v="1"/>
    <x v="0"/>
    <x v="0"/>
    <x v="1"/>
  </r>
  <r>
    <x v="2"/>
    <x v="3"/>
    <x v="2"/>
    <x v="0"/>
    <x v="1"/>
    <x v="3"/>
    <x v="2"/>
  </r>
  <r>
    <x v="1"/>
    <x v="3"/>
    <x v="0"/>
    <x v="1"/>
    <x v="0"/>
    <x v="0"/>
    <x v="3"/>
  </r>
  <r>
    <x v="0"/>
    <x v="1"/>
    <x v="3"/>
    <x v="0"/>
    <x v="3"/>
    <x v="0"/>
    <x v="2"/>
  </r>
  <r>
    <x v="2"/>
    <x v="1"/>
    <x v="3"/>
    <x v="0"/>
    <x v="3"/>
    <x v="2"/>
    <x v="0"/>
  </r>
  <r>
    <x v="1"/>
    <x v="2"/>
    <x v="2"/>
    <x v="0"/>
    <x v="0"/>
    <x v="3"/>
    <x v="0"/>
  </r>
  <r>
    <x v="1"/>
    <x v="2"/>
    <x v="0"/>
    <x v="1"/>
    <x v="0"/>
    <x v="1"/>
    <x v="1"/>
  </r>
  <r>
    <x v="1"/>
    <x v="0"/>
    <x v="2"/>
    <x v="1"/>
    <x v="3"/>
    <x v="2"/>
    <x v="3"/>
  </r>
  <r>
    <x v="0"/>
    <x v="3"/>
    <x v="0"/>
    <x v="1"/>
    <x v="1"/>
    <x v="0"/>
    <x v="2"/>
  </r>
  <r>
    <x v="1"/>
    <x v="2"/>
    <x v="0"/>
    <x v="1"/>
    <x v="2"/>
    <x v="0"/>
    <x v="1"/>
  </r>
  <r>
    <x v="0"/>
    <x v="0"/>
    <x v="0"/>
    <x v="1"/>
    <x v="0"/>
    <x v="2"/>
    <x v="0"/>
  </r>
  <r>
    <x v="4"/>
    <x v="0"/>
    <x v="0"/>
    <x v="0"/>
    <x v="2"/>
    <x v="1"/>
    <x v="3"/>
  </r>
  <r>
    <x v="1"/>
    <x v="0"/>
    <x v="1"/>
    <x v="2"/>
    <x v="3"/>
    <x v="1"/>
    <x v="1"/>
  </r>
  <r>
    <x v="1"/>
    <x v="2"/>
    <x v="1"/>
    <x v="2"/>
    <x v="0"/>
    <x v="1"/>
    <x v="0"/>
  </r>
  <r>
    <x v="0"/>
    <x v="0"/>
    <x v="2"/>
    <x v="1"/>
    <x v="3"/>
    <x v="3"/>
    <x v="3"/>
  </r>
  <r>
    <x v="0"/>
    <x v="0"/>
    <x v="1"/>
    <x v="1"/>
    <x v="0"/>
    <x v="1"/>
    <x v="1"/>
  </r>
  <r>
    <x v="1"/>
    <x v="2"/>
    <x v="0"/>
    <x v="0"/>
    <x v="2"/>
    <x v="0"/>
    <x v="3"/>
  </r>
  <r>
    <x v="0"/>
    <x v="0"/>
    <x v="0"/>
    <x v="0"/>
    <x v="0"/>
    <x v="1"/>
    <x v="3"/>
  </r>
  <r>
    <x v="1"/>
    <x v="0"/>
    <x v="2"/>
    <x v="0"/>
    <x v="3"/>
    <x v="1"/>
    <x v="1"/>
  </r>
  <r>
    <x v="0"/>
    <x v="1"/>
    <x v="1"/>
    <x v="0"/>
    <x v="3"/>
    <x v="1"/>
    <x v="1"/>
  </r>
  <r>
    <x v="4"/>
    <x v="2"/>
    <x v="2"/>
    <x v="1"/>
    <x v="0"/>
    <x v="3"/>
    <x v="3"/>
  </r>
  <r>
    <x v="4"/>
    <x v="0"/>
    <x v="2"/>
    <x v="1"/>
    <x v="0"/>
    <x v="3"/>
    <x v="0"/>
  </r>
  <r>
    <x v="0"/>
    <x v="0"/>
    <x v="2"/>
    <x v="0"/>
    <x v="0"/>
    <x v="1"/>
    <x v="1"/>
  </r>
  <r>
    <x v="3"/>
    <x v="2"/>
    <x v="2"/>
    <x v="1"/>
    <x v="3"/>
    <x v="0"/>
    <x v="3"/>
  </r>
  <r>
    <x v="1"/>
    <x v="3"/>
    <x v="0"/>
    <x v="0"/>
    <x v="0"/>
    <x v="0"/>
    <x v="4"/>
  </r>
  <r>
    <x v="4"/>
    <x v="1"/>
    <x v="0"/>
    <x v="2"/>
    <x v="0"/>
    <x v="0"/>
    <x v="0"/>
  </r>
  <r>
    <x v="1"/>
    <x v="2"/>
    <x v="2"/>
    <x v="1"/>
    <x v="2"/>
    <x v="0"/>
    <x v="2"/>
  </r>
  <r>
    <x v="4"/>
    <x v="2"/>
    <x v="0"/>
    <x v="1"/>
    <x v="0"/>
    <x v="3"/>
    <x v="3"/>
  </r>
  <r>
    <x v="4"/>
    <x v="2"/>
    <x v="0"/>
    <x v="1"/>
    <x v="0"/>
    <x v="3"/>
    <x v="1"/>
  </r>
  <r>
    <x v="0"/>
    <x v="2"/>
    <x v="0"/>
    <x v="2"/>
    <x v="3"/>
    <x v="0"/>
    <x v="1"/>
  </r>
  <r>
    <x v="3"/>
    <x v="2"/>
    <x v="0"/>
    <x v="0"/>
    <x v="0"/>
    <x v="0"/>
    <x v="2"/>
  </r>
  <r>
    <x v="3"/>
    <x v="2"/>
    <x v="2"/>
    <x v="2"/>
    <x v="2"/>
    <x v="1"/>
    <x v="0"/>
  </r>
  <r>
    <x v="4"/>
    <x v="3"/>
    <x v="0"/>
    <x v="0"/>
    <x v="0"/>
    <x v="3"/>
    <x v="3"/>
  </r>
  <r>
    <x v="1"/>
    <x v="2"/>
    <x v="0"/>
    <x v="1"/>
    <x v="2"/>
    <x v="0"/>
    <x v="3"/>
  </r>
  <r>
    <x v="0"/>
    <x v="2"/>
    <x v="2"/>
    <x v="0"/>
    <x v="0"/>
    <x v="0"/>
    <x v="1"/>
  </r>
  <r>
    <x v="1"/>
    <x v="2"/>
    <x v="2"/>
    <x v="0"/>
    <x v="0"/>
    <x v="2"/>
    <x v="3"/>
  </r>
  <r>
    <x v="4"/>
    <x v="3"/>
    <x v="0"/>
    <x v="1"/>
    <x v="1"/>
    <x v="3"/>
    <x v="2"/>
  </r>
  <r>
    <x v="4"/>
    <x v="2"/>
    <x v="2"/>
    <x v="0"/>
    <x v="0"/>
    <x v="0"/>
    <x v="0"/>
  </r>
  <r>
    <x v="4"/>
    <x v="0"/>
    <x v="0"/>
    <x v="0"/>
    <x v="2"/>
    <x v="0"/>
    <x v="1"/>
  </r>
  <r>
    <x v="4"/>
    <x v="2"/>
    <x v="2"/>
    <x v="0"/>
    <x v="2"/>
    <x v="0"/>
    <x v="1"/>
  </r>
  <r>
    <x v="4"/>
    <x v="3"/>
    <x v="0"/>
    <x v="0"/>
    <x v="2"/>
    <x v="0"/>
    <x v="3"/>
  </r>
  <r>
    <x v="4"/>
    <x v="0"/>
    <x v="1"/>
    <x v="2"/>
    <x v="0"/>
    <x v="1"/>
    <x v="1"/>
  </r>
  <r>
    <x v="1"/>
    <x v="2"/>
    <x v="0"/>
    <x v="1"/>
    <x v="1"/>
    <x v="0"/>
    <x v="2"/>
  </r>
  <r>
    <x v="1"/>
    <x v="1"/>
    <x v="2"/>
    <x v="1"/>
    <x v="3"/>
    <x v="2"/>
    <x v="0"/>
  </r>
  <r>
    <x v="0"/>
    <x v="3"/>
    <x v="0"/>
    <x v="0"/>
    <x v="2"/>
    <x v="3"/>
    <x v="2"/>
  </r>
  <r>
    <x v="4"/>
    <x v="2"/>
    <x v="2"/>
    <x v="0"/>
    <x v="3"/>
    <x v="1"/>
    <x v="2"/>
  </r>
  <r>
    <x v="4"/>
    <x v="0"/>
    <x v="2"/>
    <x v="0"/>
    <x v="0"/>
    <x v="1"/>
    <x v="3"/>
  </r>
  <r>
    <x v="4"/>
    <x v="2"/>
    <x v="2"/>
    <x v="1"/>
    <x v="0"/>
    <x v="0"/>
    <x v="3"/>
  </r>
  <r>
    <x v="2"/>
    <x v="0"/>
    <x v="2"/>
    <x v="0"/>
    <x v="2"/>
    <x v="0"/>
    <x v="2"/>
  </r>
  <r>
    <x v="2"/>
    <x v="2"/>
    <x v="2"/>
    <x v="0"/>
    <x v="2"/>
    <x v="0"/>
    <x v="3"/>
  </r>
  <r>
    <x v="0"/>
    <x v="3"/>
    <x v="0"/>
    <x v="0"/>
    <x v="2"/>
    <x v="3"/>
    <x v="3"/>
  </r>
  <r>
    <x v="2"/>
    <x v="2"/>
    <x v="2"/>
    <x v="0"/>
    <x v="2"/>
    <x v="0"/>
    <x v="1"/>
  </r>
  <r>
    <x v="0"/>
    <x v="0"/>
    <x v="2"/>
    <x v="1"/>
    <x v="0"/>
    <x v="2"/>
    <x v="1"/>
  </r>
  <r>
    <x v="0"/>
    <x v="2"/>
    <x v="2"/>
    <x v="0"/>
    <x v="2"/>
    <x v="0"/>
    <x v="3"/>
  </r>
  <r>
    <x v="0"/>
    <x v="1"/>
    <x v="0"/>
    <x v="1"/>
    <x v="3"/>
    <x v="1"/>
    <x v="1"/>
  </r>
  <r>
    <x v="0"/>
    <x v="0"/>
    <x v="0"/>
    <x v="0"/>
    <x v="0"/>
    <x v="0"/>
    <x v="1"/>
  </r>
  <r>
    <x v="3"/>
    <x v="3"/>
    <x v="2"/>
    <x v="0"/>
    <x v="2"/>
    <x v="0"/>
    <x v="0"/>
  </r>
  <r>
    <x v="3"/>
    <x v="2"/>
    <x v="2"/>
    <x v="1"/>
    <x v="0"/>
    <x v="0"/>
    <x v="1"/>
  </r>
  <r>
    <x v="4"/>
    <x v="0"/>
    <x v="0"/>
    <x v="2"/>
    <x v="2"/>
    <x v="3"/>
    <x v="0"/>
  </r>
  <r>
    <x v="3"/>
    <x v="1"/>
    <x v="2"/>
    <x v="0"/>
    <x v="3"/>
    <x v="2"/>
    <x v="3"/>
  </r>
  <r>
    <x v="0"/>
    <x v="3"/>
    <x v="0"/>
    <x v="1"/>
    <x v="2"/>
    <x v="0"/>
    <x v="2"/>
  </r>
  <r>
    <x v="0"/>
    <x v="2"/>
    <x v="2"/>
    <x v="0"/>
    <x v="0"/>
    <x v="0"/>
    <x v="3"/>
  </r>
  <r>
    <x v="3"/>
    <x v="0"/>
    <x v="3"/>
    <x v="0"/>
    <x v="3"/>
    <x v="2"/>
    <x v="3"/>
  </r>
  <r>
    <x v="0"/>
    <x v="2"/>
    <x v="2"/>
    <x v="1"/>
    <x v="2"/>
    <x v="0"/>
    <x v="0"/>
  </r>
  <r>
    <x v="1"/>
    <x v="2"/>
    <x v="2"/>
    <x v="2"/>
    <x v="3"/>
    <x v="1"/>
    <x v="1"/>
  </r>
  <r>
    <x v="3"/>
    <x v="0"/>
    <x v="2"/>
    <x v="0"/>
    <x v="2"/>
    <x v="1"/>
    <x v="1"/>
  </r>
  <r>
    <x v="4"/>
    <x v="2"/>
    <x v="1"/>
    <x v="2"/>
    <x v="0"/>
    <x v="2"/>
    <x v="0"/>
  </r>
  <r>
    <x v="0"/>
    <x v="1"/>
    <x v="0"/>
    <x v="1"/>
    <x v="2"/>
    <x v="0"/>
    <x v="1"/>
  </r>
  <r>
    <x v="0"/>
    <x v="2"/>
    <x v="0"/>
    <x v="0"/>
    <x v="2"/>
    <x v="0"/>
    <x v="1"/>
  </r>
  <r>
    <x v="1"/>
    <x v="0"/>
    <x v="2"/>
    <x v="1"/>
    <x v="2"/>
    <x v="0"/>
    <x v="3"/>
  </r>
  <r>
    <x v="3"/>
    <x v="0"/>
    <x v="2"/>
    <x v="0"/>
    <x v="0"/>
    <x v="1"/>
    <x v="1"/>
  </r>
  <r>
    <x v="4"/>
    <x v="0"/>
    <x v="2"/>
    <x v="2"/>
    <x v="3"/>
    <x v="1"/>
    <x v="3"/>
  </r>
  <r>
    <x v="0"/>
    <x v="2"/>
    <x v="0"/>
    <x v="0"/>
    <x v="3"/>
    <x v="2"/>
    <x v="0"/>
  </r>
  <r>
    <x v="0"/>
    <x v="2"/>
    <x v="0"/>
    <x v="0"/>
    <x v="0"/>
    <x v="0"/>
    <x v="3"/>
  </r>
  <r>
    <x v="3"/>
    <x v="0"/>
    <x v="2"/>
    <x v="0"/>
    <x v="0"/>
    <x v="3"/>
    <x v="1"/>
  </r>
  <r>
    <x v="1"/>
    <x v="2"/>
    <x v="0"/>
    <x v="0"/>
    <x v="2"/>
    <x v="0"/>
    <x v="3"/>
  </r>
  <r>
    <x v="1"/>
    <x v="0"/>
    <x v="0"/>
    <x v="0"/>
    <x v="2"/>
    <x v="0"/>
    <x v="3"/>
  </r>
  <r>
    <x v="4"/>
    <x v="0"/>
    <x v="2"/>
    <x v="1"/>
    <x v="2"/>
    <x v="0"/>
    <x v="2"/>
  </r>
  <r>
    <x v="4"/>
    <x v="2"/>
    <x v="0"/>
    <x v="1"/>
    <x v="2"/>
    <x v="0"/>
    <x v="3"/>
  </r>
  <r>
    <x v="4"/>
    <x v="1"/>
    <x v="0"/>
    <x v="1"/>
    <x v="0"/>
    <x v="0"/>
    <x v="3"/>
  </r>
  <r>
    <x v="3"/>
    <x v="3"/>
    <x v="0"/>
    <x v="1"/>
    <x v="1"/>
    <x v="3"/>
    <x v="1"/>
  </r>
  <r>
    <x v="0"/>
    <x v="2"/>
    <x v="0"/>
    <x v="1"/>
    <x v="3"/>
    <x v="1"/>
    <x v="1"/>
  </r>
  <r>
    <x v="0"/>
    <x v="2"/>
    <x v="0"/>
    <x v="0"/>
    <x v="4"/>
    <x v="1"/>
    <x v="0"/>
  </r>
  <r>
    <x v="0"/>
    <x v="1"/>
    <x v="2"/>
    <x v="1"/>
    <x v="0"/>
    <x v="0"/>
    <x v="2"/>
  </r>
  <r>
    <x v="2"/>
    <x v="2"/>
    <x v="0"/>
    <x v="1"/>
    <x v="1"/>
    <x v="3"/>
    <x v="3"/>
  </r>
  <r>
    <x v="3"/>
    <x v="4"/>
    <x v="0"/>
    <x v="0"/>
    <x v="4"/>
    <x v="1"/>
    <x v="0"/>
  </r>
  <r>
    <x v="3"/>
    <x v="0"/>
    <x v="1"/>
    <x v="0"/>
    <x v="0"/>
    <x v="2"/>
    <x v="1"/>
  </r>
  <r>
    <x v="1"/>
    <x v="3"/>
    <x v="2"/>
    <x v="0"/>
    <x v="2"/>
    <x v="3"/>
    <x v="2"/>
  </r>
  <r>
    <x v="0"/>
    <x v="0"/>
    <x v="2"/>
    <x v="1"/>
    <x v="0"/>
    <x v="3"/>
    <x v="1"/>
  </r>
  <r>
    <x v="2"/>
    <x v="3"/>
    <x v="2"/>
    <x v="0"/>
    <x v="0"/>
    <x v="0"/>
    <x v="3"/>
  </r>
  <r>
    <x v="0"/>
    <x v="1"/>
    <x v="1"/>
    <x v="0"/>
    <x v="0"/>
    <x v="1"/>
    <x v="4"/>
  </r>
  <r>
    <x v="0"/>
    <x v="2"/>
    <x v="0"/>
    <x v="1"/>
    <x v="3"/>
    <x v="0"/>
    <x v="4"/>
  </r>
  <r>
    <x v="3"/>
    <x v="1"/>
    <x v="4"/>
    <x v="3"/>
    <x v="4"/>
    <x v="2"/>
    <x v="0"/>
  </r>
  <r>
    <x v="1"/>
    <x v="3"/>
    <x v="0"/>
    <x v="1"/>
    <x v="0"/>
    <x v="0"/>
    <x v="1"/>
  </r>
  <r>
    <x v="3"/>
    <x v="0"/>
    <x v="2"/>
    <x v="1"/>
    <x v="2"/>
    <x v="3"/>
    <x v="3"/>
  </r>
  <r>
    <x v="0"/>
    <x v="2"/>
    <x v="2"/>
    <x v="4"/>
    <x v="3"/>
    <x v="2"/>
    <x v="0"/>
  </r>
  <r>
    <x v="4"/>
    <x v="0"/>
    <x v="3"/>
    <x v="0"/>
    <x v="3"/>
    <x v="0"/>
    <x v="1"/>
  </r>
  <r>
    <x v="1"/>
    <x v="3"/>
    <x v="2"/>
    <x v="0"/>
    <x v="1"/>
    <x v="3"/>
    <x v="4"/>
  </r>
  <r>
    <x v="3"/>
    <x v="0"/>
    <x v="2"/>
    <x v="0"/>
    <x v="2"/>
    <x v="0"/>
    <x v="1"/>
  </r>
  <r>
    <x v="0"/>
    <x v="0"/>
    <x v="3"/>
    <x v="0"/>
    <x v="3"/>
    <x v="0"/>
    <x v="0"/>
  </r>
  <r>
    <x v="5"/>
    <x v="5"/>
    <x v="5"/>
    <x v="5"/>
    <x v="5"/>
    <x v="4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37">
  <r>
    <x v="0"/>
    <n v="2"/>
    <n v="2"/>
    <n v="2"/>
    <n v="2"/>
    <n v="3"/>
    <n v="3"/>
    <x v="0"/>
  </r>
  <r>
    <x v="1"/>
    <n v="2"/>
    <n v="3"/>
    <n v="5"/>
    <n v="4"/>
    <n v="2"/>
    <n v="3"/>
    <x v="0"/>
  </r>
  <r>
    <x v="0"/>
    <n v="2"/>
    <n v="2"/>
    <n v="3"/>
    <n v="2"/>
    <n v="2"/>
    <n v="2"/>
    <x v="1"/>
  </r>
  <r>
    <x v="1"/>
    <n v="2"/>
    <n v="3"/>
    <n v="5"/>
    <n v="4"/>
    <n v="2"/>
    <n v="3"/>
    <x v="1"/>
  </r>
  <r>
    <x v="1"/>
    <n v="2"/>
    <n v="3"/>
    <n v="5"/>
    <n v="4"/>
    <n v="1"/>
    <n v="3"/>
    <x v="2"/>
  </r>
  <r>
    <x v="0"/>
    <n v="2"/>
    <n v="2"/>
    <n v="2"/>
    <n v="2"/>
    <n v="2"/>
    <n v="3"/>
    <x v="2"/>
  </r>
  <r>
    <x v="1"/>
    <n v="2"/>
    <n v="2"/>
    <n v="5"/>
    <n v="2"/>
    <n v="2"/>
    <n v="4"/>
    <x v="2"/>
  </r>
  <r>
    <x v="2"/>
    <n v="2"/>
    <n v="2"/>
    <n v="5"/>
    <n v="3"/>
    <n v="2"/>
    <n v="4"/>
    <x v="2"/>
  </r>
  <r>
    <x v="2"/>
    <n v="2"/>
    <n v="1"/>
    <n v="5"/>
    <n v="2"/>
    <n v="1"/>
    <n v="4"/>
    <x v="1"/>
  </r>
  <r>
    <x v="1"/>
    <n v="2"/>
    <n v="2"/>
    <n v="5"/>
    <n v="4"/>
    <n v="2"/>
    <n v="3"/>
    <x v="2"/>
  </r>
  <r>
    <x v="0"/>
    <n v="2"/>
    <n v="2"/>
    <n v="3"/>
    <n v="2"/>
    <n v="2"/>
    <n v="4"/>
    <x v="0"/>
  </r>
  <r>
    <x v="3"/>
    <n v="2"/>
    <n v="1"/>
    <n v="2"/>
    <n v="1"/>
    <n v="3"/>
    <n v="5"/>
    <x v="0"/>
  </r>
  <r>
    <x v="3"/>
    <n v="2"/>
    <n v="2"/>
    <n v="2"/>
    <n v="3"/>
    <n v="2"/>
    <n v="5"/>
    <x v="0"/>
  </r>
  <r>
    <x v="3"/>
    <n v="2"/>
    <n v="1"/>
    <n v="1"/>
    <n v="1"/>
    <n v="2"/>
    <n v="3"/>
    <x v="3"/>
  </r>
  <r>
    <x v="1"/>
    <n v="2"/>
    <n v="1"/>
    <n v="5"/>
    <n v="1"/>
    <n v="2"/>
    <n v="3"/>
    <x v="0"/>
  </r>
  <r>
    <x v="0"/>
    <n v="2"/>
    <n v="2"/>
    <n v="2"/>
    <n v="2"/>
    <n v="2"/>
    <n v="3"/>
    <x v="1"/>
  </r>
  <r>
    <x v="1"/>
    <n v="2"/>
    <n v="2"/>
    <n v="4"/>
    <n v="2"/>
    <n v="1"/>
    <n v="5"/>
    <x v="1"/>
  </r>
  <r>
    <x v="3"/>
    <n v="2"/>
    <n v="3"/>
    <n v="3"/>
    <n v="4"/>
    <n v="2"/>
    <n v="3"/>
    <x v="2"/>
  </r>
  <r>
    <x v="1"/>
    <n v="2"/>
    <n v="3"/>
    <n v="5"/>
    <n v="4"/>
    <n v="2"/>
    <n v="4"/>
    <x v="0"/>
  </r>
  <r>
    <x v="1"/>
    <n v="2"/>
    <n v="1"/>
    <n v="5"/>
    <n v="1"/>
    <n v="2"/>
    <n v="4"/>
    <x v="2"/>
  </r>
  <r>
    <x v="0"/>
    <n v="2"/>
    <n v="2"/>
    <n v="3"/>
    <n v="3"/>
    <n v="2"/>
    <n v="1"/>
    <x v="2"/>
  </r>
  <r>
    <x v="3"/>
    <n v="2"/>
    <n v="2"/>
    <n v="4"/>
    <n v="2"/>
    <n v="2"/>
    <n v="4"/>
    <x v="0"/>
  </r>
  <r>
    <x v="3"/>
    <n v="2"/>
    <n v="2"/>
    <n v="4"/>
    <n v="2"/>
    <n v="3"/>
    <n v="2"/>
    <x v="2"/>
  </r>
  <r>
    <x v="4"/>
    <n v="2"/>
    <n v="2"/>
    <n v="1"/>
    <n v="2"/>
    <n v="3"/>
    <n v="4"/>
    <x v="0"/>
  </r>
  <r>
    <x v="0"/>
    <n v="2"/>
    <n v="2"/>
    <n v="2"/>
    <n v="2"/>
    <n v="3"/>
    <n v="3"/>
    <x v="2"/>
  </r>
  <r>
    <x v="0"/>
    <n v="2"/>
    <n v="2"/>
    <n v="2"/>
    <n v="2"/>
    <n v="2"/>
    <n v="3"/>
    <x v="2"/>
  </r>
  <r>
    <x v="0"/>
    <n v="2"/>
    <n v="2"/>
    <n v="2"/>
    <n v="4"/>
    <n v="3"/>
    <n v="5"/>
    <x v="0"/>
  </r>
  <r>
    <x v="0"/>
    <n v="2"/>
    <n v="1"/>
    <n v="2"/>
    <n v="1"/>
    <n v="2"/>
    <n v="1"/>
    <x v="0"/>
  </r>
  <r>
    <x v="0"/>
    <n v="2"/>
    <n v="2"/>
    <n v="2"/>
    <n v="2"/>
    <n v="2"/>
    <n v="5"/>
    <x v="3"/>
  </r>
  <r>
    <x v="1"/>
    <n v="2"/>
    <n v="2"/>
    <n v="5"/>
    <n v="2"/>
    <n v="2"/>
    <n v="2"/>
    <x v="3"/>
  </r>
  <r>
    <x v="2"/>
    <n v="2"/>
    <n v="1"/>
    <n v="5"/>
    <n v="1"/>
    <n v="1"/>
    <n v="5"/>
    <x v="2"/>
  </r>
  <r>
    <x v="0"/>
    <n v="2"/>
    <n v="2"/>
    <n v="2"/>
    <n v="2"/>
    <n v="2"/>
    <n v="3"/>
    <x v="0"/>
  </r>
  <r>
    <x v="0"/>
    <n v="2"/>
    <n v="2"/>
    <n v="1"/>
    <n v="2"/>
    <n v="2"/>
    <n v="5"/>
    <x v="2"/>
  </r>
  <r>
    <x v="1"/>
    <n v="2"/>
    <n v="3"/>
    <n v="5"/>
    <n v="4"/>
    <n v="1"/>
    <n v="4"/>
    <x v="0"/>
  </r>
  <r>
    <x v="1"/>
    <n v="2"/>
    <n v="2"/>
    <n v="5"/>
    <n v="2"/>
    <n v="2"/>
    <n v="4"/>
    <x v="0"/>
  </r>
  <r>
    <x v="1"/>
    <n v="2"/>
    <n v="2"/>
    <n v="4"/>
    <n v="4"/>
    <n v="1"/>
    <n v="5"/>
    <x v="2"/>
  </r>
  <r>
    <x v="0"/>
    <n v="2"/>
    <n v="1"/>
    <n v="2"/>
    <n v="1"/>
    <n v="2"/>
    <n v="5"/>
    <x v="0"/>
  </r>
  <r>
    <x v="2"/>
    <n v="2"/>
    <n v="1"/>
    <n v="5"/>
    <n v="2"/>
    <n v="2"/>
    <n v="5"/>
    <x v="2"/>
  </r>
  <r>
    <x v="1"/>
    <n v="2"/>
    <n v="3"/>
    <n v="5"/>
    <n v="4"/>
    <n v="2"/>
    <n v="5"/>
    <x v="0"/>
  </r>
  <r>
    <x v="0"/>
    <n v="2"/>
    <n v="2"/>
    <n v="2"/>
    <n v="2"/>
    <n v="3"/>
    <n v="2"/>
    <x v="3"/>
  </r>
  <r>
    <x v="2"/>
    <n v="2"/>
    <n v="1"/>
    <n v="5"/>
    <n v="1"/>
    <n v="1"/>
    <n v="2"/>
    <x v="3"/>
  </r>
  <r>
    <x v="1"/>
    <n v="2"/>
    <n v="1"/>
    <n v="5"/>
    <n v="1"/>
    <n v="2"/>
    <n v="4"/>
    <x v="2"/>
  </r>
  <r>
    <x v="1"/>
    <n v="1"/>
    <n v="1"/>
    <n v="5"/>
    <n v="1"/>
    <n v="2"/>
    <n v="4"/>
    <x v="0"/>
  </r>
  <r>
    <x v="1"/>
    <n v="2"/>
    <n v="3"/>
    <n v="5"/>
    <n v="3"/>
    <n v="2"/>
    <n v="3"/>
    <x v="2"/>
  </r>
  <r>
    <x v="0"/>
    <n v="2"/>
    <n v="2"/>
    <n v="3"/>
    <n v="2"/>
    <n v="2"/>
    <n v="5"/>
    <x v="0"/>
  </r>
  <r>
    <x v="1"/>
    <n v="2"/>
    <n v="3"/>
    <n v="5"/>
    <n v="3"/>
    <n v="2"/>
    <n v="4"/>
    <x v="0"/>
  </r>
  <r>
    <x v="0"/>
    <n v="2"/>
    <n v="2"/>
    <n v="2"/>
    <n v="2"/>
    <n v="2"/>
    <n v="3"/>
    <x v="0"/>
  </r>
  <r>
    <x v="4"/>
    <n v="2"/>
    <n v="1"/>
    <n v="2"/>
    <n v="1"/>
    <n v="2"/>
    <n v="3"/>
    <x v="0"/>
  </r>
  <r>
    <x v="1"/>
    <n v="2"/>
    <n v="2"/>
    <n v="5"/>
    <n v="2"/>
    <n v="3"/>
    <n v="3"/>
    <x v="1"/>
  </r>
  <r>
    <x v="1"/>
    <n v="2"/>
    <n v="1"/>
    <n v="4"/>
    <n v="1"/>
    <n v="2"/>
    <n v="4"/>
    <x v="1"/>
  </r>
  <r>
    <x v="0"/>
    <n v="2"/>
    <n v="1"/>
    <n v="2"/>
    <n v="2"/>
    <n v="2"/>
    <n v="3"/>
    <x v="2"/>
  </r>
  <r>
    <x v="0"/>
    <n v="2"/>
    <n v="2"/>
    <n v="2"/>
    <n v="2"/>
    <n v="2"/>
    <n v="3"/>
    <x v="1"/>
  </r>
  <r>
    <x v="1"/>
    <n v="2"/>
    <n v="1"/>
    <n v="4"/>
    <n v="1"/>
    <n v="2"/>
    <n v="4"/>
    <x v="0"/>
  </r>
  <r>
    <x v="0"/>
    <n v="2"/>
    <n v="1"/>
    <n v="2"/>
    <n v="1"/>
    <n v="2"/>
    <n v="3"/>
    <x v="0"/>
  </r>
  <r>
    <x v="1"/>
    <n v="2"/>
    <n v="2"/>
    <n v="5"/>
    <n v="4"/>
    <n v="2"/>
    <n v="3"/>
    <x v="2"/>
  </r>
  <r>
    <x v="0"/>
    <n v="2"/>
    <n v="2"/>
    <n v="1"/>
    <n v="2"/>
    <n v="3"/>
    <n v="2"/>
    <x v="1"/>
  </r>
  <r>
    <x v="4"/>
    <n v="2"/>
    <n v="2"/>
    <n v="1"/>
    <n v="2"/>
    <n v="2"/>
    <n v="4"/>
    <x v="2"/>
  </r>
  <r>
    <x v="4"/>
    <n v="2"/>
    <n v="1"/>
    <n v="2"/>
    <n v="1"/>
    <n v="2"/>
    <n v="3"/>
    <x v="2"/>
  </r>
  <r>
    <x v="0"/>
    <n v="2"/>
    <n v="2"/>
    <n v="2"/>
    <n v="2"/>
    <n v="2"/>
    <n v="3"/>
    <x v="2"/>
  </r>
  <r>
    <x v="3"/>
    <n v="2"/>
    <n v="1"/>
    <n v="4"/>
    <n v="1"/>
    <n v="2"/>
    <n v="4"/>
    <x v="2"/>
  </r>
  <r>
    <x v="1"/>
    <n v="2"/>
    <n v="1"/>
    <n v="5"/>
    <n v="1"/>
    <n v="2"/>
    <n v="5"/>
    <x v="0"/>
  </r>
  <r>
    <x v="4"/>
    <n v="2"/>
    <n v="1"/>
    <n v="2"/>
    <n v="1"/>
    <n v="3"/>
    <n v="2"/>
    <x v="0"/>
  </r>
  <r>
    <x v="1"/>
    <n v="2"/>
    <n v="3"/>
    <n v="4"/>
    <n v="3"/>
    <n v="2"/>
    <n v="4"/>
    <x v="2"/>
  </r>
  <r>
    <x v="4"/>
    <n v="2"/>
    <n v="2"/>
    <n v="1"/>
    <n v="2"/>
    <n v="2"/>
    <n v="4"/>
    <x v="0"/>
  </r>
  <r>
    <x v="4"/>
    <n v="2"/>
    <n v="2"/>
    <n v="1"/>
    <n v="2"/>
    <n v="2"/>
    <n v="4"/>
    <x v="0"/>
  </r>
  <r>
    <x v="0"/>
    <n v="2"/>
    <n v="2"/>
    <n v="2"/>
    <n v="2"/>
    <n v="2"/>
    <n v="4"/>
    <x v="0"/>
  </r>
  <r>
    <x v="3"/>
    <n v="2"/>
    <n v="2"/>
    <n v="4"/>
    <n v="2"/>
    <n v="2"/>
    <n v="4"/>
    <x v="0"/>
  </r>
  <r>
    <x v="3"/>
    <n v="2"/>
    <n v="2"/>
    <n v="1"/>
    <n v="3"/>
    <n v="2"/>
    <n v="4"/>
    <x v="2"/>
  </r>
  <r>
    <x v="4"/>
    <n v="2"/>
    <n v="2"/>
    <n v="1"/>
    <n v="2"/>
    <n v="3"/>
    <n v="5"/>
    <x v="0"/>
  </r>
  <r>
    <x v="1"/>
    <n v="2"/>
    <n v="1"/>
    <n v="5"/>
    <n v="1"/>
    <n v="2"/>
    <n v="4"/>
    <x v="0"/>
  </r>
  <r>
    <x v="0"/>
    <n v="2"/>
    <n v="2"/>
    <n v="2"/>
    <n v="2"/>
    <n v="2"/>
    <n v="4"/>
    <x v="2"/>
  </r>
  <r>
    <x v="1"/>
    <n v="1"/>
    <n v="2"/>
    <n v="3"/>
    <n v="2"/>
    <n v="2"/>
    <n v="4"/>
    <x v="2"/>
  </r>
  <r>
    <x v="4"/>
    <n v="2"/>
    <n v="2"/>
    <n v="1"/>
    <n v="2"/>
    <n v="2"/>
    <n v="5"/>
    <x v="0"/>
  </r>
  <r>
    <x v="4"/>
    <n v="2"/>
    <n v="2"/>
    <n v="1"/>
    <n v="2"/>
    <n v="2"/>
    <n v="4"/>
    <x v="2"/>
  </r>
  <r>
    <x v="4"/>
    <n v="2"/>
    <n v="2"/>
    <n v="1"/>
    <n v="2"/>
    <n v="2"/>
    <n v="3"/>
    <x v="0"/>
  </r>
  <r>
    <x v="4"/>
    <n v="2"/>
    <n v="2"/>
    <n v="1"/>
    <n v="2"/>
    <n v="2"/>
    <n v="4"/>
    <x v="2"/>
  </r>
  <r>
    <x v="4"/>
    <n v="2"/>
    <n v="2"/>
    <n v="1"/>
    <n v="2"/>
    <n v="1"/>
    <n v="5"/>
    <x v="0"/>
  </r>
  <r>
    <x v="4"/>
    <n v="1"/>
    <n v="2"/>
    <n v="1"/>
    <n v="2"/>
    <n v="2"/>
    <n v="3"/>
    <x v="1"/>
  </r>
  <r>
    <x v="1"/>
    <n v="2"/>
    <n v="1"/>
    <n v="4"/>
    <n v="1"/>
    <n v="2"/>
    <n v="4"/>
    <x v="0"/>
  </r>
  <r>
    <x v="1"/>
    <n v="2"/>
    <n v="1"/>
    <n v="5"/>
    <n v="1"/>
    <n v="2"/>
    <n v="2"/>
    <x v="2"/>
  </r>
  <r>
    <x v="0"/>
    <n v="2"/>
    <n v="1"/>
    <n v="4"/>
    <n v="1"/>
    <n v="2"/>
    <n v="5"/>
    <x v="0"/>
  </r>
  <r>
    <x v="4"/>
    <n v="2"/>
    <n v="2"/>
    <n v="2"/>
    <n v="2"/>
    <n v="3"/>
    <n v="4"/>
    <x v="2"/>
  </r>
  <r>
    <x v="4"/>
    <n v="2"/>
    <n v="1"/>
    <n v="2"/>
    <n v="2"/>
    <n v="3"/>
    <n v="3"/>
    <x v="2"/>
  </r>
  <r>
    <x v="4"/>
    <n v="2"/>
    <n v="2"/>
    <n v="2"/>
    <n v="2"/>
    <n v="2"/>
    <n v="4"/>
    <x v="2"/>
  </r>
  <r>
    <x v="2"/>
    <n v="2"/>
    <n v="3"/>
    <n v="5"/>
    <n v="4"/>
    <n v="2"/>
    <n v="3"/>
    <x v="2"/>
  </r>
  <r>
    <x v="2"/>
    <n v="2"/>
    <n v="1"/>
    <n v="5"/>
    <n v="2"/>
    <n v="2"/>
    <n v="4"/>
    <x v="2"/>
  </r>
  <r>
    <x v="0"/>
    <n v="2"/>
    <n v="1"/>
    <n v="2"/>
    <n v="1"/>
    <n v="2"/>
    <n v="5"/>
    <x v="0"/>
  </r>
  <r>
    <x v="2"/>
    <n v="2"/>
    <n v="3"/>
    <n v="5"/>
    <n v="4"/>
    <n v="2"/>
    <n v="4"/>
    <x v="2"/>
  </r>
  <r>
    <x v="0"/>
    <n v="2"/>
    <n v="2"/>
    <n v="3"/>
    <n v="2"/>
    <n v="1"/>
    <n v="3"/>
    <x v="2"/>
  </r>
  <r>
    <x v="0"/>
    <n v="2"/>
    <n v="2"/>
    <n v="3"/>
    <n v="2"/>
    <n v="2"/>
    <n v="4"/>
    <x v="2"/>
  </r>
  <r>
    <x v="0"/>
    <n v="2"/>
    <n v="2"/>
    <n v="2"/>
    <n v="2"/>
    <n v="2"/>
    <n v="2"/>
    <x v="0"/>
  </r>
  <r>
    <x v="0"/>
    <n v="2"/>
    <n v="2"/>
    <n v="2"/>
    <n v="2"/>
    <n v="2"/>
    <n v="3"/>
    <x v="0"/>
  </r>
  <r>
    <x v="3"/>
    <n v="2"/>
    <n v="2"/>
    <n v="4"/>
    <n v="2"/>
    <n v="3"/>
    <n v="5"/>
    <x v="2"/>
  </r>
  <r>
    <x v="3"/>
    <n v="2"/>
    <n v="3"/>
    <n v="5"/>
    <n v="4"/>
    <n v="3"/>
    <n v="4"/>
    <x v="2"/>
  </r>
  <r>
    <x v="4"/>
    <n v="2"/>
    <n v="2"/>
    <n v="2"/>
    <n v="2"/>
    <n v="3"/>
    <n v="3"/>
    <x v="0"/>
  </r>
  <r>
    <x v="3"/>
    <n v="2"/>
    <n v="3"/>
    <n v="5"/>
    <n v="4"/>
    <n v="2"/>
    <n v="2"/>
    <x v="2"/>
  </r>
  <r>
    <x v="0"/>
    <n v="2"/>
    <n v="2"/>
    <n v="1"/>
    <n v="2"/>
    <n v="2"/>
    <n v="5"/>
    <x v="0"/>
  </r>
  <r>
    <x v="0"/>
    <n v="2"/>
    <n v="2"/>
    <n v="2"/>
    <n v="2"/>
    <n v="2"/>
    <n v="4"/>
    <x v="2"/>
  </r>
  <r>
    <x v="3"/>
    <n v="2"/>
    <n v="2"/>
    <n v="4"/>
    <n v="4"/>
    <n v="2"/>
    <n v="3"/>
    <x v="3"/>
  </r>
  <r>
    <x v="0"/>
    <n v="2"/>
    <n v="2"/>
    <n v="2"/>
    <n v="2"/>
    <n v="2"/>
    <n v="4"/>
    <x v="2"/>
  </r>
  <r>
    <x v="1"/>
    <n v="2"/>
    <n v="3"/>
    <n v="5"/>
    <n v="4"/>
    <n v="2"/>
    <n v="4"/>
    <x v="2"/>
  </r>
  <r>
    <x v="3"/>
    <n v="2"/>
    <n v="1"/>
    <n v="2"/>
    <n v="1"/>
    <n v="2"/>
    <n v="3"/>
    <x v="2"/>
  </r>
  <r>
    <x v="4"/>
    <n v="2"/>
    <n v="2"/>
    <n v="2"/>
    <n v="2"/>
    <n v="2"/>
    <n v="4"/>
    <x v="1"/>
  </r>
  <r>
    <x v="0"/>
    <n v="2"/>
    <n v="2"/>
    <n v="3"/>
    <n v="2"/>
    <n v="3"/>
    <n v="2"/>
    <x v="0"/>
  </r>
  <r>
    <x v="0"/>
    <n v="2"/>
    <n v="2"/>
    <n v="3"/>
    <n v="2"/>
    <n v="3"/>
    <n v="4"/>
    <x v="0"/>
  </r>
  <r>
    <x v="1"/>
    <n v="2"/>
    <n v="3"/>
    <n v="5"/>
    <n v="4"/>
    <n v="3"/>
    <n v="3"/>
    <x v="2"/>
  </r>
  <r>
    <x v="3"/>
    <n v="2"/>
    <n v="2"/>
    <n v="5"/>
    <n v="4"/>
    <n v="2"/>
    <n v="3"/>
    <x v="2"/>
  </r>
  <r>
    <x v="4"/>
    <n v="2"/>
    <n v="2"/>
    <n v="2"/>
    <n v="2"/>
    <n v="2"/>
    <n v="3"/>
    <x v="2"/>
  </r>
  <r>
    <x v="0"/>
    <n v="2"/>
    <n v="1"/>
    <n v="2"/>
    <n v="2"/>
    <n v="2"/>
    <n v="4"/>
    <x v="0"/>
  </r>
  <r>
    <x v="0"/>
    <n v="2"/>
    <n v="2"/>
    <n v="2"/>
    <n v="2"/>
    <n v="3"/>
    <n v="4"/>
    <x v="0"/>
  </r>
  <r>
    <x v="3"/>
    <n v="2"/>
    <n v="2"/>
    <n v="3"/>
    <n v="3"/>
    <n v="2"/>
    <n v="3"/>
    <x v="2"/>
  </r>
  <r>
    <x v="1"/>
    <n v="2"/>
    <n v="2"/>
    <n v="3"/>
    <n v="4"/>
    <n v="2"/>
    <n v="4"/>
    <x v="0"/>
  </r>
  <r>
    <x v="1"/>
    <n v="2"/>
    <n v="1"/>
    <n v="4"/>
    <n v="2"/>
    <n v="2"/>
    <n v="3"/>
    <x v="0"/>
  </r>
  <r>
    <x v="4"/>
    <n v="2"/>
    <n v="2"/>
    <n v="1"/>
    <n v="2"/>
    <n v="2"/>
    <n v="3"/>
    <x v="2"/>
  </r>
  <r>
    <x v="4"/>
    <n v="2"/>
    <n v="2"/>
    <n v="1"/>
    <n v="2"/>
    <n v="3"/>
    <n v="4"/>
    <x v="0"/>
  </r>
  <r>
    <x v="4"/>
    <n v="2"/>
    <n v="2"/>
    <n v="2"/>
    <n v="2"/>
    <n v="2"/>
    <n v="2"/>
    <x v="0"/>
  </r>
  <r>
    <x v="3"/>
    <n v="2"/>
    <n v="2"/>
    <n v="2"/>
    <n v="2"/>
    <n v="2"/>
    <n v="5"/>
    <x v="0"/>
  </r>
  <r>
    <x v="0"/>
    <n v="2"/>
    <n v="2"/>
    <n v="2"/>
    <n v="2"/>
    <n v="2"/>
    <n v="4"/>
    <x v="0"/>
  </r>
  <r>
    <x v="0"/>
    <n v="2"/>
    <n v="1"/>
    <n v="2"/>
    <n v="1"/>
    <n v="3"/>
    <n v="4"/>
    <x v="0"/>
  </r>
  <r>
    <x v="0"/>
    <n v="2"/>
    <n v="2"/>
    <n v="3"/>
    <n v="3"/>
    <n v="3"/>
    <n v="2"/>
    <x v="2"/>
  </r>
  <r>
    <x v="2"/>
    <n v="2"/>
    <n v="1"/>
    <n v="3"/>
    <n v="1"/>
    <n v="2"/>
    <n v="4"/>
    <x v="0"/>
  </r>
  <r>
    <x v="3"/>
    <n v="2"/>
    <n v="3"/>
    <n v="4"/>
    <n v="4"/>
    <n v="2"/>
    <n v="1"/>
    <x v="0"/>
  </r>
  <r>
    <x v="3"/>
    <n v="2"/>
    <n v="3"/>
    <n v="5"/>
    <n v="3"/>
    <n v="2"/>
    <n v="3"/>
    <x v="1"/>
  </r>
  <r>
    <x v="1"/>
    <n v="2"/>
    <n v="2"/>
    <n v="5"/>
    <n v="4"/>
    <n v="2"/>
    <n v="5"/>
    <x v="2"/>
  </r>
  <r>
    <x v="0"/>
    <n v="2"/>
    <n v="2"/>
    <n v="3"/>
    <n v="2"/>
    <n v="3"/>
    <n v="3"/>
    <x v="2"/>
  </r>
  <r>
    <x v="2"/>
    <n v="2"/>
    <n v="3"/>
    <n v="5"/>
    <n v="4"/>
    <n v="2"/>
    <n v="5"/>
    <x v="2"/>
  </r>
  <r>
    <x v="0"/>
    <n v="2"/>
    <n v="2"/>
    <n v="2"/>
    <n v="2"/>
    <n v="3"/>
    <n v="2"/>
    <x v="1"/>
  </r>
  <r>
    <x v="0"/>
    <n v="2"/>
    <n v="2"/>
    <n v="2"/>
    <n v="2"/>
    <n v="2"/>
    <n v="4"/>
    <x v="0"/>
  </r>
  <r>
    <x v="3"/>
    <n v="2"/>
    <n v="1"/>
    <n v="4"/>
    <n v="1"/>
    <n v="2"/>
    <n v="2"/>
    <x v="4"/>
  </r>
  <r>
    <x v="1"/>
    <n v="2"/>
    <n v="2"/>
    <n v="2"/>
    <n v="3"/>
    <n v="2"/>
    <n v="5"/>
    <x v="0"/>
  </r>
  <r>
    <x v="3"/>
    <n v="2"/>
    <n v="3"/>
    <n v="3"/>
    <n v="2"/>
    <n v="2"/>
    <n v="3"/>
    <x v="2"/>
  </r>
  <r>
    <x v="0"/>
    <n v="2"/>
    <n v="2"/>
    <n v="2"/>
    <n v="3"/>
    <n v="2"/>
    <n v="4"/>
    <x v="2"/>
  </r>
  <r>
    <x v="4"/>
    <n v="1"/>
    <n v="1"/>
    <n v="1"/>
    <n v="1"/>
    <n v="2"/>
    <n v="3"/>
    <x v="3"/>
  </r>
  <r>
    <x v="1"/>
    <n v="2"/>
    <n v="1"/>
    <n v="2"/>
    <n v="1"/>
    <n v="1"/>
    <n v="5"/>
    <x v="2"/>
  </r>
  <r>
    <x v="3"/>
    <n v="2"/>
    <n v="3"/>
    <n v="4"/>
    <n v="3"/>
    <n v="2"/>
    <n v="3"/>
    <x v="2"/>
  </r>
  <r>
    <x v="0"/>
    <n v="2"/>
    <n v="2"/>
    <n v="3"/>
    <n v="2"/>
    <n v="2"/>
    <n v="3"/>
    <x v="3"/>
  </r>
  <r>
    <x v="5"/>
    <m/>
    <m/>
    <m/>
    <m/>
    <m/>
    <m/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36">
  <r>
    <x v="0"/>
    <n v="3"/>
    <n v="5"/>
    <x v="0"/>
    <x v="0"/>
    <x v="0"/>
    <x v="0"/>
  </r>
  <r>
    <x v="1"/>
    <n v="3"/>
    <n v="5"/>
    <x v="0"/>
    <x v="0"/>
    <x v="0"/>
    <x v="1"/>
  </r>
  <r>
    <x v="0"/>
    <n v="2"/>
    <n v="3"/>
    <x v="0"/>
    <x v="0"/>
    <x v="0"/>
    <x v="0"/>
  </r>
  <r>
    <x v="1"/>
    <n v="3"/>
    <n v="3"/>
    <x v="1"/>
    <x v="0"/>
    <x v="1"/>
    <x v="1"/>
  </r>
  <r>
    <x v="1"/>
    <n v="3"/>
    <n v="4"/>
    <x v="2"/>
    <x v="0"/>
    <x v="1"/>
    <x v="1"/>
  </r>
  <r>
    <x v="0"/>
    <n v="3"/>
    <n v="4"/>
    <x v="1"/>
    <x v="1"/>
    <x v="2"/>
    <x v="1"/>
  </r>
  <r>
    <x v="1"/>
    <n v="4"/>
    <n v="4"/>
    <x v="1"/>
    <x v="2"/>
    <x v="0"/>
    <x v="2"/>
  </r>
  <r>
    <x v="2"/>
    <n v="4"/>
    <n v="4"/>
    <x v="1"/>
    <x v="0"/>
    <x v="0"/>
    <x v="1"/>
  </r>
  <r>
    <x v="2"/>
    <n v="4"/>
    <n v="3"/>
    <x v="0"/>
    <x v="3"/>
    <x v="0"/>
    <x v="1"/>
  </r>
  <r>
    <x v="1"/>
    <n v="3"/>
    <n v="4"/>
    <x v="0"/>
    <x v="0"/>
    <x v="0"/>
    <x v="3"/>
  </r>
  <r>
    <x v="0"/>
    <n v="4"/>
    <n v="5"/>
    <x v="0"/>
    <x v="2"/>
    <x v="0"/>
    <x v="2"/>
  </r>
  <r>
    <x v="3"/>
    <n v="5"/>
    <n v="5"/>
    <x v="1"/>
    <x v="0"/>
    <x v="3"/>
    <x v="0"/>
  </r>
  <r>
    <x v="3"/>
    <n v="5"/>
    <n v="5"/>
    <x v="0"/>
    <x v="2"/>
    <x v="1"/>
    <x v="1"/>
  </r>
  <r>
    <x v="3"/>
    <n v="3"/>
    <n v="2"/>
    <x v="0"/>
    <x v="3"/>
    <x v="1"/>
    <x v="0"/>
  </r>
  <r>
    <x v="1"/>
    <n v="3"/>
    <n v="5"/>
    <x v="0"/>
    <x v="0"/>
    <x v="0"/>
    <x v="0"/>
  </r>
  <r>
    <x v="0"/>
    <n v="3"/>
    <n v="3"/>
    <x v="0"/>
    <x v="3"/>
    <x v="2"/>
    <x v="0"/>
  </r>
  <r>
    <x v="1"/>
    <n v="5"/>
    <n v="3"/>
    <x v="0"/>
    <x v="0"/>
    <x v="2"/>
    <x v="4"/>
  </r>
  <r>
    <x v="3"/>
    <n v="3"/>
    <n v="4"/>
    <x v="1"/>
    <x v="2"/>
    <x v="3"/>
    <x v="3"/>
  </r>
  <r>
    <x v="1"/>
    <n v="4"/>
    <n v="5"/>
    <x v="0"/>
    <x v="3"/>
    <x v="0"/>
    <x v="0"/>
  </r>
  <r>
    <x v="1"/>
    <n v="4"/>
    <n v="4"/>
    <x v="1"/>
    <x v="2"/>
    <x v="3"/>
    <x v="1"/>
  </r>
  <r>
    <x v="0"/>
    <n v="1"/>
    <n v="4"/>
    <x v="0"/>
    <x v="3"/>
    <x v="0"/>
    <x v="0"/>
  </r>
  <r>
    <x v="3"/>
    <n v="4"/>
    <n v="5"/>
    <x v="1"/>
    <x v="2"/>
    <x v="0"/>
    <x v="3"/>
  </r>
  <r>
    <x v="3"/>
    <n v="2"/>
    <n v="4"/>
    <x v="1"/>
    <x v="1"/>
    <x v="0"/>
    <x v="2"/>
  </r>
  <r>
    <x v="4"/>
    <n v="4"/>
    <n v="5"/>
    <x v="1"/>
    <x v="0"/>
    <x v="0"/>
    <x v="1"/>
  </r>
  <r>
    <x v="0"/>
    <n v="3"/>
    <n v="4"/>
    <x v="0"/>
    <x v="0"/>
    <x v="1"/>
    <x v="3"/>
  </r>
  <r>
    <x v="0"/>
    <n v="3"/>
    <n v="4"/>
    <x v="0"/>
    <x v="3"/>
    <x v="0"/>
    <x v="3"/>
  </r>
  <r>
    <x v="0"/>
    <n v="5"/>
    <n v="5"/>
    <x v="1"/>
    <x v="0"/>
    <x v="3"/>
    <x v="2"/>
  </r>
  <r>
    <x v="0"/>
    <n v="1"/>
    <n v="5"/>
    <x v="0"/>
    <x v="0"/>
    <x v="3"/>
    <x v="1"/>
  </r>
  <r>
    <x v="0"/>
    <n v="5"/>
    <n v="2"/>
    <x v="1"/>
    <x v="1"/>
    <x v="3"/>
    <x v="2"/>
  </r>
  <r>
    <x v="1"/>
    <n v="2"/>
    <n v="2"/>
    <x v="0"/>
    <x v="4"/>
    <x v="2"/>
    <x v="0"/>
  </r>
  <r>
    <x v="2"/>
    <n v="5"/>
    <n v="4"/>
    <x v="1"/>
    <x v="1"/>
    <x v="3"/>
    <x v="3"/>
  </r>
  <r>
    <x v="0"/>
    <n v="3"/>
    <n v="5"/>
    <x v="0"/>
    <x v="0"/>
    <x v="0"/>
    <x v="1"/>
  </r>
  <r>
    <x v="0"/>
    <n v="5"/>
    <n v="4"/>
    <x v="0"/>
    <x v="0"/>
    <x v="3"/>
    <x v="3"/>
  </r>
  <r>
    <x v="1"/>
    <n v="4"/>
    <n v="5"/>
    <x v="1"/>
    <x v="2"/>
    <x v="1"/>
    <x v="3"/>
  </r>
  <r>
    <x v="1"/>
    <n v="4"/>
    <n v="5"/>
    <x v="0"/>
    <x v="0"/>
    <x v="3"/>
    <x v="3"/>
  </r>
  <r>
    <x v="1"/>
    <n v="5"/>
    <n v="4"/>
    <x v="0"/>
    <x v="1"/>
    <x v="0"/>
    <x v="0"/>
  </r>
  <r>
    <x v="0"/>
    <n v="5"/>
    <n v="5"/>
    <x v="1"/>
    <x v="0"/>
    <x v="0"/>
    <x v="1"/>
  </r>
  <r>
    <x v="2"/>
    <n v="5"/>
    <n v="4"/>
    <x v="0"/>
    <x v="1"/>
    <x v="3"/>
    <x v="2"/>
  </r>
  <r>
    <x v="1"/>
    <n v="5"/>
    <n v="5"/>
    <x v="1"/>
    <x v="0"/>
    <x v="0"/>
    <x v="3"/>
  </r>
  <r>
    <x v="0"/>
    <n v="2"/>
    <n v="2"/>
    <x v="0"/>
    <x v="3"/>
    <x v="0"/>
    <x v="2"/>
  </r>
  <r>
    <x v="2"/>
    <n v="2"/>
    <n v="2"/>
    <x v="0"/>
    <x v="3"/>
    <x v="2"/>
    <x v="0"/>
  </r>
  <r>
    <x v="1"/>
    <n v="4"/>
    <n v="4"/>
    <x v="0"/>
    <x v="0"/>
    <x v="3"/>
    <x v="0"/>
  </r>
  <r>
    <x v="1"/>
    <n v="4"/>
    <n v="5"/>
    <x v="1"/>
    <x v="0"/>
    <x v="1"/>
    <x v="1"/>
  </r>
  <r>
    <x v="1"/>
    <n v="3"/>
    <n v="4"/>
    <x v="1"/>
    <x v="3"/>
    <x v="2"/>
    <x v="3"/>
  </r>
  <r>
    <x v="0"/>
    <n v="5"/>
    <n v="5"/>
    <x v="1"/>
    <x v="1"/>
    <x v="0"/>
    <x v="2"/>
  </r>
  <r>
    <x v="1"/>
    <n v="4"/>
    <n v="5"/>
    <x v="1"/>
    <x v="2"/>
    <x v="0"/>
    <x v="1"/>
  </r>
  <r>
    <x v="0"/>
    <n v="3"/>
    <n v="5"/>
    <x v="1"/>
    <x v="0"/>
    <x v="2"/>
    <x v="0"/>
  </r>
  <r>
    <x v="4"/>
    <n v="3"/>
    <n v="5"/>
    <x v="0"/>
    <x v="2"/>
    <x v="1"/>
    <x v="3"/>
  </r>
  <r>
    <x v="1"/>
    <n v="3"/>
    <n v="3"/>
    <x v="2"/>
    <x v="3"/>
    <x v="1"/>
    <x v="1"/>
  </r>
  <r>
    <x v="1"/>
    <n v="4"/>
    <n v="3"/>
    <x v="2"/>
    <x v="0"/>
    <x v="1"/>
    <x v="0"/>
  </r>
  <r>
    <x v="0"/>
    <n v="3"/>
    <n v="4"/>
    <x v="1"/>
    <x v="3"/>
    <x v="3"/>
    <x v="3"/>
  </r>
  <r>
    <x v="0"/>
    <n v="3"/>
    <n v="3"/>
    <x v="1"/>
    <x v="0"/>
    <x v="1"/>
    <x v="1"/>
  </r>
  <r>
    <x v="1"/>
    <n v="4"/>
    <n v="5"/>
    <x v="0"/>
    <x v="2"/>
    <x v="0"/>
    <x v="3"/>
  </r>
  <r>
    <x v="0"/>
    <n v="3"/>
    <n v="5"/>
    <x v="0"/>
    <x v="0"/>
    <x v="1"/>
    <x v="3"/>
  </r>
  <r>
    <x v="1"/>
    <n v="3"/>
    <n v="4"/>
    <x v="0"/>
    <x v="3"/>
    <x v="1"/>
    <x v="1"/>
  </r>
  <r>
    <x v="0"/>
    <n v="2"/>
    <n v="3"/>
    <x v="0"/>
    <x v="3"/>
    <x v="1"/>
    <x v="1"/>
  </r>
  <r>
    <x v="4"/>
    <n v="4"/>
    <n v="4"/>
    <x v="1"/>
    <x v="0"/>
    <x v="3"/>
    <x v="3"/>
  </r>
  <r>
    <x v="4"/>
    <n v="3"/>
    <n v="4"/>
    <x v="1"/>
    <x v="0"/>
    <x v="3"/>
    <x v="0"/>
  </r>
  <r>
    <x v="0"/>
    <n v="3"/>
    <n v="4"/>
    <x v="0"/>
    <x v="0"/>
    <x v="1"/>
    <x v="1"/>
  </r>
  <r>
    <x v="3"/>
    <n v="4"/>
    <n v="4"/>
    <x v="1"/>
    <x v="3"/>
    <x v="0"/>
    <x v="3"/>
  </r>
  <r>
    <x v="1"/>
    <n v="5"/>
    <n v="5"/>
    <x v="0"/>
    <x v="0"/>
    <x v="0"/>
    <x v="4"/>
  </r>
  <r>
    <x v="4"/>
    <n v="2"/>
    <n v="5"/>
    <x v="2"/>
    <x v="0"/>
    <x v="0"/>
    <x v="0"/>
  </r>
  <r>
    <x v="1"/>
    <n v="4"/>
    <n v="4"/>
    <x v="1"/>
    <x v="2"/>
    <x v="0"/>
    <x v="2"/>
  </r>
  <r>
    <x v="4"/>
    <n v="4"/>
    <n v="5"/>
    <x v="1"/>
    <x v="0"/>
    <x v="3"/>
    <x v="3"/>
  </r>
  <r>
    <x v="4"/>
    <n v="4"/>
    <n v="5"/>
    <x v="1"/>
    <x v="0"/>
    <x v="3"/>
    <x v="1"/>
  </r>
  <r>
    <x v="0"/>
    <n v="4"/>
    <n v="5"/>
    <x v="2"/>
    <x v="3"/>
    <x v="0"/>
    <x v="1"/>
  </r>
  <r>
    <x v="3"/>
    <n v="4"/>
    <n v="5"/>
    <x v="0"/>
    <x v="0"/>
    <x v="0"/>
    <x v="2"/>
  </r>
  <r>
    <x v="3"/>
    <n v="4"/>
    <n v="4"/>
    <x v="2"/>
    <x v="2"/>
    <x v="1"/>
    <x v="0"/>
  </r>
  <r>
    <x v="4"/>
    <n v="5"/>
    <n v="5"/>
    <x v="0"/>
    <x v="0"/>
    <x v="3"/>
    <x v="3"/>
  </r>
  <r>
    <x v="1"/>
    <n v="4"/>
    <n v="5"/>
    <x v="1"/>
    <x v="2"/>
    <x v="0"/>
    <x v="3"/>
  </r>
  <r>
    <x v="0"/>
    <n v="4"/>
    <n v="4"/>
    <x v="0"/>
    <x v="0"/>
    <x v="0"/>
    <x v="1"/>
  </r>
  <r>
    <x v="1"/>
    <n v="4"/>
    <n v="4"/>
    <x v="0"/>
    <x v="0"/>
    <x v="2"/>
    <x v="3"/>
  </r>
  <r>
    <x v="4"/>
    <n v="5"/>
    <n v="5"/>
    <x v="1"/>
    <x v="1"/>
    <x v="3"/>
    <x v="2"/>
  </r>
  <r>
    <x v="4"/>
    <n v="4"/>
    <n v="4"/>
    <x v="0"/>
    <x v="0"/>
    <x v="0"/>
    <x v="0"/>
  </r>
  <r>
    <x v="4"/>
    <n v="3"/>
    <n v="5"/>
    <x v="0"/>
    <x v="2"/>
    <x v="0"/>
    <x v="1"/>
  </r>
  <r>
    <x v="4"/>
    <n v="4"/>
    <n v="4"/>
    <x v="0"/>
    <x v="2"/>
    <x v="0"/>
    <x v="1"/>
  </r>
  <r>
    <x v="4"/>
    <n v="5"/>
    <n v="5"/>
    <x v="0"/>
    <x v="2"/>
    <x v="0"/>
    <x v="3"/>
  </r>
  <r>
    <x v="4"/>
    <n v="3"/>
    <n v="3"/>
    <x v="2"/>
    <x v="0"/>
    <x v="1"/>
    <x v="1"/>
  </r>
  <r>
    <x v="1"/>
    <n v="4"/>
    <n v="5"/>
    <x v="1"/>
    <x v="1"/>
    <x v="0"/>
    <x v="2"/>
  </r>
  <r>
    <x v="1"/>
    <n v="2"/>
    <n v="4"/>
    <x v="1"/>
    <x v="3"/>
    <x v="2"/>
    <x v="0"/>
  </r>
  <r>
    <x v="0"/>
    <n v="5"/>
    <n v="5"/>
    <x v="0"/>
    <x v="2"/>
    <x v="3"/>
    <x v="2"/>
  </r>
  <r>
    <x v="4"/>
    <n v="4"/>
    <n v="4"/>
    <x v="0"/>
    <x v="3"/>
    <x v="1"/>
    <x v="2"/>
  </r>
  <r>
    <x v="4"/>
    <n v="3"/>
    <n v="4"/>
    <x v="0"/>
    <x v="0"/>
    <x v="1"/>
    <x v="3"/>
  </r>
  <r>
    <x v="4"/>
    <n v="4"/>
    <n v="4"/>
    <x v="1"/>
    <x v="0"/>
    <x v="0"/>
    <x v="3"/>
  </r>
  <r>
    <x v="2"/>
    <n v="3"/>
    <n v="4"/>
    <x v="0"/>
    <x v="2"/>
    <x v="0"/>
    <x v="2"/>
  </r>
  <r>
    <x v="2"/>
    <n v="4"/>
    <n v="4"/>
    <x v="0"/>
    <x v="2"/>
    <x v="0"/>
    <x v="3"/>
  </r>
  <r>
    <x v="0"/>
    <n v="5"/>
    <n v="5"/>
    <x v="0"/>
    <x v="2"/>
    <x v="3"/>
    <x v="3"/>
  </r>
  <r>
    <x v="2"/>
    <n v="4"/>
    <n v="4"/>
    <x v="0"/>
    <x v="2"/>
    <x v="0"/>
    <x v="1"/>
  </r>
  <r>
    <x v="0"/>
    <n v="3"/>
    <n v="4"/>
    <x v="1"/>
    <x v="0"/>
    <x v="2"/>
    <x v="1"/>
  </r>
  <r>
    <x v="0"/>
    <n v="4"/>
    <n v="4"/>
    <x v="0"/>
    <x v="2"/>
    <x v="0"/>
    <x v="3"/>
  </r>
  <r>
    <x v="0"/>
    <n v="2"/>
    <n v="5"/>
    <x v="1"/>
    <x v="3"/>
    <x v="1"/>
    <x v="1"/>
  </r>
  <r>
    <x v="0"/>
    <n v="3"/>
    <n v="5"/>
    <x v="0"/>
    <x v="0"/>
    <x v="0"/>
    <x v="1"/>
  </r>
  <r>
    <x v="3"/>
    <n v="5"/>
    <n v="4"/>
    <x v="0"/>
    <x v="2"/>
    <x v="0"/>
    <x v="0"/>
  </r>
  <r>
    <x v="3"/>
    <n v="4"/>
    <n v="4"/>
    <x v="1"/>
    <x v="0"/>
    <x v="0"/>
    <x v="1"/>
  </r>
  <r>
    <x v="4"/>
    <n v="3"/>
    <n v="5"/>
    <x v="2"/>
    <x v="2"/>
    <x v="3"/>
    <x v="0"/>
  </r>
  <r>
    <x v="3"/>
    <n v="2"/>
    <n v="4"/>
    <x v="0"/>
    <x v="3"/>
    <x v="2"/>
    <x v="3"/>
  </r>
  <r>
    <x v="0"/>
    <n v="5"/>
    <n v="5"/>
    <x v="1"/>
    <x v="2"/>
    <x v="0"/>
    <x v="2"/>
  </r>
  <r>
    <x v="0"/>
    <n v="4"/>
    <n v="4"/>
    <x v="0"/>
    <x v="0"/>
    <x v="0"/>
    <x v="3"/>
  </r>
  <r>
    <x v="3"/>
    <n v="3"/>
    <n v="2"/>
    <x v="0"/>
    <x v="3"/>
    <x v="2"/>
    <x v="3"/>
  </r>
  <r>
    <x v="0"/>
    <n v="4"/>
    <n v="4"/>
    <x v="1"/>
    <x v="2"/>
    <x v="0"/>
    <x v="0"/>
  </r>
  <r>
    <x v="1"/>
    <n v="4"/>
    <n v="4"/>
    <x v="2"/>
    <x v="3"/>
    <x v="1"/>
    <x v="1"/>
  </r>
  <r>
    <x v="3"/>
    <n v="3"/>
    <n v="4"/>
    <x v="0"/>
    <x v="2"/>
    <x v="1"/>
    <x v="1"/>
  </r>
  <r>
    <x v="4"/>
    <n v="4"/>
    <n v="3"/>
    <x v="2"/>
    <x v="0"/>
    <x v="2"/>
    <x v="0"/>
  </r>
  <r>
    <x v="0"/>
    <n v="2"/>
    <n v="5"/>
    <x v="1"/>
    <x v="2"/>
    <x v="0"/>
    <x v="1"/>
  </r>
  <r>
    <x v="0"/>
    <n v="4"/>
    <n v="5"/>
    <x v="0"/>
    <x v="2"/>
    <x v="0"/>
    <x v="1"/>
  </r>
  <r>
    <x v="1"/>
    <n v="3"/>
    <n v="4"/>
    <x v="1"/>
    <x v="2"/>
    <x v="0"/>
    <x v="3"/>
  </r>
  <r>
    <x v="3"/>
    <n v="3"/>
    <n v="4"/>
    <x v="0"/>
    <x v="0"/>
    <x v="1"/>
    <x v="1"/>
  </r>
  <r>
    <x v="4"/>
    <n v="3"/>
    <n v="4"/>
    <x v="2"/>
    <x v="3"/>
    <x v="1"/>
    <x v="3"/>
  </r>
  <r>
    <x v="0"/>
    <n v="4"/>
    <n v="5"/>
    <x v="0"/>
    <x v="3"/>
    <x v="2"/>
    <x v="0"/>
  </r>
  <r>
    <x v="0"/>
    <n v="4"/>
    <n v="5"/>
    <x v="0"/>
    <x v="0"/>
    <x v="0"/>
    <x v="3"/>
  </r>
  <r>
    <x v="3"/>
    <n v="3"/>
    <n v="4"/>
    <x v="0"/>
    <x v="0"/>
    <x v="3"/>
    <x v="1"/>
  </r>
  <r>
    <x v="1"/>
    <n v="4"/>
    <n v="5"/>
    <x v="0"/>
    <x v="2"/>
    <x v="0"/>
    <x v="3"/>
  </r>
  <r>
    <x v="1"/>
    <n v="3"/>
    <n v="5"/>
    <x v="0"/>
    <x v="2"/>
    <x v="0"/>
    <x v="3"/>
  </r>
  <r>
    <x v="4"/>
    <n v="3"/>
    <n v="4"/>
    <x v="1"/>
    <x v="2"/>
    <x v="0"/>
    <x v="2"/>
  </r>
  <r>
    <x v="4"/>
    <n v="4"/>
    <n v="5"/>
    <x v="1"/>
    <x v="2"/>
    <x v="0"/>
    <x v="3"/>
  </r>
  <r>
    <x v="4"/>
    <n v="2"/>
    <n v="5"/>
    <x v="1"/>
    <x v="0"/>
    <x v="0"/>
    <x v="3"/>
  </r>
  <r>
    <x v="3"/>
    <n v="5"/>
    <n v="5"/>
    <x v="1"/>
    <x v="1"/>
    <x v="3"/>
    <x v="1"/>
  </r>
  <r>
    <x v="0"/>
    <n v="4"/>
    <n v="5"/>
    <x v="1"/>
    <x v="3"/>
    <x v="1"/>
    <x v="1"/>
  </r>
  <r>
    <x v="0"/>
    <n v="4"/>
    <n v="5"/>
    <x v="0"/>
    <x v="4"/>
    <x v="1"/>
    <x v="0"/>
  </r>
  <r>
    <x v="0"/>
    <n v="2"/>
    <n v="4"/>
    <x v="1"/>
    <x v="0"/>
    <x v="0"/>
    <x v="2"/>
  </r>
  <r>
    <x v="2"/>
    <n v="4"/>
    <n v="5"/>
    <x v="1"/>
    <x v="1"/>
    <x v="3"/>
    <x v="3"/>
  </r>
  <r>
    <x v="3"/>
    <n v="1"/>
    <n v="5"/>
    <x v="0"/>
    <x v="4"/>
    <x v="1"/>
    <x v="0"/>
  </r>
  <r>
    <x v="3"/>
    <n v="3"/>
    <n v="3"/>
    <x v="0"/>
    <x v="0"/>
    <x v="2"/>
    <x v="1"/>
  </r>
  <r>
    <x v="1"/>
    <n v="5"/>
    <n v="4"/>
    <x v="0"/>
    <x v="2"/>
    <x v="3"/>
    <x v="2"/>
  </r>
  <r>
    <x v="0"/>
    <n v="3"/>
    <n v="4"/>
    <x v="1"/>
    <x v="0"/>
    <x v="3"/>
    <x v="1"/>
  </r>
  <r>
    <x v="2"/>
    <n v="5"/>
    <n v="4"/>
    <x v="0"/>
    <x v="0"/>
    <x v="0"/>
    <x v="3"/>
  </r>
  <r>
    <x v="0"/>
    <n v="2"/>
    <n v="3"/>
    <x v="0"/>
    <x v="0"/>
    <x v="1"/>
    <x v="4"/>
  </r>
  <r>
    <x v="0"/>
    <n v="4"/>
    <n v="5"/>
    <x v="1"/>
    <x v="3"/>
    <x v="0"/>
    <x v="4"/>
  </r>
  <r>
    <x v="3"/>
    <n v="2"/>
    <n v="1"/>
    <x v="3"/>
    <x v="4"/>
    <x v="2"/>
    <x v="0"/>
  </r>
  <r>
    <x v="1"/>
    <n v="5"/>
    <n v="5"/>
    <x v="1"/>
    <x v="0"/>
    <x v="0"/>
    <x v="1"/>
  </r>
  <r>
    <x v="3"/>
    <n v="3"/>
    <n v="4"/>
    <x v="1"/>
    <x v="2"/>
    <x v="3"/>
    <x v="3"/>
  </r>
  <r>
    <x v="0"/>
    <n v="4"/>
    <n v="4"/>
    <x v="4"/>
    <x v="3"/>
    <x v="2"/>
    <x v="0"/>
  </r>
  <r>
    <x v="4"/>
    <n v="3"/>
    <n v="2"/>
    <x v="0"/>
    <x v="3"/>
    <x v="0"/>
    <x v="1"/>
  </r>
  <r>
    <x v="1"/>
    <n v="5"/>
    <n v="4"/>
    <x v="0"/>
    <x v="1"/>
    <x v="3"/>
    <x v="4"/>
  </r>
  <r>
    <x v="3"/>
    <n v="3"/>
    <n v="4"/>
    <x v="0"/>
    <x v="2"/>
    <x v="0"/>
    <x v="1"/>
  </r>
  <r>
    <x v="0"/>
    <n v="3"/>
    <n v="2"/>
    <x v="0"/>
    <x v="3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8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V27:AB34" firstHeaderRow="1" firstDataRow="2" firstDataCol="1"/>
  <pivotFields count="7">
    <pivotField axis="axisRow" showAll="0">
      <items count="6">
        <item x="4"/>
        <item x="0"/>
        <item x="3"/>
        <item x="1"/>
        <item x="2"/>
        <item t="default"/>
      </items>
    </pivotField>
    <pivotField showAll="0"/>
    <pivotField showAll="0"/>
    <pivotField axis="axisCol" dataField="1" showAll="0">
      <items count="6">
        <item x="3"/>
        <item x="4"/>
        <item x="2"/>
        <item x="0"/>
        <item x="1"/>
        <item t="default"/>
      </items>
    </pivotField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atisf3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V15:AB22" firstHeaderRow="1" firstDataRow="2" firstDataCol="1"/>
  <pivotFields count="8">
    <pivotField axis="axisRow" showAll="0">
      <items count="7">
        <item x="4"/>
        <item x="0"/>
        <item x="3"/>
        <item x="1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7">
        <item x="4"/>
        <item x="3"/>
        <item x="1"/>
        <item x="2"/>
        <item x="0"/>
        <item x="5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atisf2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V5:AB12" firstHeaderRow="1" firstDataRow="2" firstDataCol="1"/>
  <pivotFields count="7">
    <pivotField axis="axisRow" compact="0" outline="0" showAll="0">
      <items count="7">
        <item x="4"/>
        <item x="0"/>
        <item x="3"/>
        <item x="1"/>
        <item x="2"/>
        <item x="5"/>
        <item t="default"/>
      </items>
    </pivotField>
    <pivotField axis="axisCol" dataField="1" compact="0" outline="0" multipleItemSelectionAllowed="1" showAll="0">
      <items count="7">
        <item sd="0" x="4"/>
        <item x="1"/>
        <item x="0"/>
        <item x="2"/>
        <item x="3"/>
        <item h="1" x="5"/>
        <item t="default"/>
      </items>
    </pivotField>
    <pivotField compact="0" outline="0" multipleItemSelectionAllowed="1" showAll="0">
      <items count="7">
        <item x="4"/>
        <item x="3"/>
        <item x="1"/>
        <item x="2"/>
        <item x="0"/>
        <item h="1" x="5"/>
        <item t="default"/>
      </items>
    </pivotField>
    <pivotField compact="0" outline="0" multipleItemSelectionAllowed="1" showAll="0">
      <items count="7">
        <item x="3"/>
        <item x="4"/>
        <item x="2"/>
        <item x="0"/>
        <item x="1"/>
        <item h="1" x="5"/>
        <item t="default"/>
      </items>
    </pivotField>
    <pivotField compact="0" outline="0" showAll="0">
      <items count="7">
        <item x="4"/>
        <item x="3"/>
        <item x="0"/>
        <item x="2"/>
        <item x="1"/>
        <item x="5"/>
        <item t="default"/>
      </items>
    </pivotField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>
      <items count="7">
        <item x="4"/>
        <item x="0"/>
        <item x="1"/>
        <item x="3"/>
        <item x="2"/>
        <item x="5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atisf1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V59:AB66" firstHeaderRow="1" firstDataRow="2" firstDataCol="1"/>
  <pivotFields count="7">
    <pivotField axis="axisRow" showAll="0">
      <items count="6">
        <item x="4"/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6">
        <item x="4"/>
        <item x="0"/>
        <item x="1"/>
        <item x="3"/>
        <item x="2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atisf6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0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V49:AA56" firstHeaderRow="1" firstDataRow="2" firstDataCol="1"/>
  <pivotFields count="7">
    <pivotField axis="axisRow" showAll="0">
      <items count="6">
        <item x="4"/>
        <item x="0"/>
        <item x="3"/>
        <item x="1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5">
        <item x="2"/>
        <item x="1"/>
        <item x="0"/>
        <item x="3"/>
        <item t="default"/>
      </items>
    </pivotField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atisf5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V38:AB45" firstHeaderRow="1" firstDataRow="2" firstDataCol="1"/>
  <pivotFields count="7">
    <pivotField axis="axisRow" showAll="0">
      <items count="6">
        <item x="4"/>
        <item x="0"/>
        <item x="3"/>
        <item x="1"/>
        <item x="2"/>
        <item t="default"/>
      </items>
    </pivotField>
    <pivotField showAll="0"/>
    <pivotField showAll="0"/>
    <pivotField showAll="0"/>
    <pivotField axis="axisCol" dataField="1" showAll="0">
      <items count="6">
        <item x="4"/>
        <item x="3"/>
        <item x="0"/>
        <item x="2"/>
        <item x="1"/>
        <item t="default"/>
      </items>
    </pivotField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atisf4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=@sum(P3:U3" TargetMode="External"/><Relationship Id="rId21" Type="http://schemas.openxmlformats.org/officeDocument/2006/relationships/hyperlink" Target="mailto:=@sum(AH18:AL18)" TargetMode="External"/><Relationship Id="rId42" Type="http://schemas.openxmlformats.org/officeDocument/2006/relationships/hyperlink" Target="mailto:=@sum(P3:P8" TargetMode="External"/><Relationship Id="rId47" Type="http://schemas.openxmlformats.org/officeDocument/2006/relationships/hyperlink" Target="mailto:=@sum(Y17:AD17)" TargetMode="External"/><Relationship Id="rId63" Type="http://schemas.openxmlformats.org/officeDocument/2006/relationships/hyperlink" Target="mailto:=@sum(P3:P8" TargetMode="External"/><Relationship Id="rId68" Type="http://schemas.openxmlformats.org/officeDocument/2006/relationships/hyperlink" Target="mailto:=@sum(Y17:AD17)" TargetMode="External"/><Relationship Id="rId7" Type="http://schemas.openxmlformats.org/officeDocument/2006/relationships/hyperlink" Target="mailto:=@sum(P3:P8" TargetMode="External"/><Relationship Id="rId2" Type="http://schemas.openxmlformats.org/officeDocument/2006/relationships/hyperlink" Target="mailto:=@sum(P3:P8" TargetMode="External"/><Relationship Id="rId16" Type="http://schemas.openxmlformats.org/officeDocument/2006/relationships/hyperlink" Target="mailto:=@sum(P3:P8" TargetMode="External"/><Relationship Id="rId29" Type="http://schemas.openxmlformats.org/officeDocument/2006/relationships/hyperlink" Target="mailto:=@sum(Y17:AD17)" TargetMode="External"/><Relationship Id="rId11" Type="http://schemas.openxmlformats.org/officeDocument/2006/relationships/hyperlink" Target="mailto:=@sum(P3:P8" TargetMode="External"/><Relationship Id="rId24" Type="http://schemas.openxmlformats.org/officeDocument/2006/relationships/hyperlink" Target="mailto:=@sum(AH3:AL8)" TargetMode="External"/><Relationship Id="rId32" Type="http://schemas.openxmlformats.org/officeDocument/2006/relationships/hyperlink" Target="mailto:=@sum(Y3:AC3)" TargetMode="External"/><Relationship Id="rId37" Type="http://schemas.openxmlformats.org/officeDocument/2006/relationships/hyperlink" Target="mailto:=@sum(P45:T45)" TargetMode="External"/><Relationship Id="rId40" Type="http://schemas.openxmlformats.org/officeDocument/2006/relationships/hyperlink" Target="mailto:=@sum(P73:T73" TargetMode="External"/><Relationship Id="rId45" Type="http://schemas.openxmlformats.org/officeDocument/2006/relationships/hyperlink" Target="mailto:=@sum(AH18:AL18)" TargetMode="External"/><Relationship Id="rId53" Type="http://schemas.openxmlformats.org/officeDocument/2006/relationships/hyperlink" Target="mailto:=@sum(AH18:AL18)" TargetMode="External"/><Relationship Id="rId58" Type="http://schemas.openxmlformats.org/officeDocument/2006/relationships/hyperlink" Target="mailto:=@sum(P3:P8" TargetMode="External"/><Relationship Id="rId66" Type="http://schemas.openxmlformats.org/officeDocument/2006/relationships/hyperlink" Target="mailto:=@sum(AH18:AL18)" TargetMode="External"/><Relationship Id="rId5" Type="http://schemas.openxmlformats.org/officeDocument/2006/relationships/hyperlink" Target="mailto:=@sum(P3:P8" TargetMode="External"/><Relationship Id="rId61" Type="http://schemas.openxmlformats.org/officeDocument/2006/relationships/hyperlink" Target="mailto:=@sum(Y17:AD17)" TargetMode="External"/><Relationship Id="rId19" Type="http://schemas.openxmlformats.org/officeDocument/2006/relationships/hyperlink" Target="mailto:=@sum(P3:P8" TargetMode="External"/><Relationship Id="rId14" Type="http://schemas.openxmlformats.org/officeDocument/2006/relationships/hyperlink" Target="mailto:=@sum(P3:P8" TargetMode="External"/><Relationship Id="rId22" Type="http://schemas.openxmlformats.org/officeDocument/2006/relationships/hyperlink" Target="mailto:=@sum(AH3:AL3)" TargetMode="External"/><Relationship Id="rId27" Type="http://schemas.openxmlformats.org/officeDocument/2006/relationships/hyperlink" Target="mailto:=@sum(P3:U3" TargetMode="External"/><Relationship Id="rId30" Type="http://schemas.openxmlformats.org/officeDocument/2006/relationships/hyperlink" Target="mailto:=@sum(P3:U3" TargetMode="External"/><Relationship Id="rId35" Type="http://schemas.openxmlformats.org/officeDocument/2006/relationships/hyperlink" Target="mailto:=@sum(Y17:AD17)" TargetMode="External"/><Relationship Id="rId43" Type="http://schemas.openxmlformats.org/officeDocument/2006/relationships/hyperlink" Target="mailto:=@sum(P3:P8" TargetMode="External"/><Relationship Id="rId48" Type="http://schemas.openxmlformats.org/officeDocument/2006/relationships/hyperlink" Target="mailto:=@sum(Y17:AD17)" TargetMode="External"/><Relationship Id="rId56" Type="http://schemas.openxmlformats.org/officeDocument/2006/relationships/hyperlink" Target="mailto:=@sum(P3:P8" TargetMode="External"/><Relationship Id="rId64" Type="http://schemas.openxmlformats.org/officeDocument/2006/relationships/hyperlink" Target="mailto:=@sum(P3:P8" TargetMode="External"/><Relationship Id="rId69" Type="http://schemas.openxmlformats.org/officeDocument/2006/relationships/hyperlink" Target="mailto:=@sum(Y17:AD17)" TargetMode="External"/><Relationship Id="rId8" Type="http://schemas.openxmlformats.org/officeDocument/2006/relationships/hyperlink" Target="mailto:=@sum(P3:P8" TargetMode="External"/><Relationship Id="rId51" Type="http://schemas.openxmlformats.org/officeDocument/2006/relationships/hyperlink" Target="mailto:=@sum(P3:P8" TargetMode="External"/><Relationship Id="rId3" Type="http://schemas.openxmlformats.org/officeDocument/2006/relationships/hyperlink" Target="mailto:=@sum(P3:P8" TargetMode="External"/><Relationship Id="rId12" Type="http://schemas.openxmlformats.org/officeDocument/2006/relationships/hyperlink" Target="mailto:=@sum(P3:P8" TargetMode="External"/><Relationship Id="rId17" Type="http://schemas.openxmlformats.org/officeDocument/2006/relationships/hyperlink" Target="mailto:=@sum(P3:P8" TargetMode="External"/><Relationship Id="rId25" Type="http://schemas.openxmlformats.org/officeDocument/2006/relationships/hyperlink" Target="mailto:=@sum(P3:U3" TargetMode="External"/><Relationship Id="rId33" Type="http://schemas.openxmlformats.org/officeDocument/2006/relationships/hyperlink" Target="mailto:=@sum(P3:U3" TargetMode="External"/><Relationship Id="rId38" Type="http://schemas.openxmlformats.org/officeDocument/2006/relationships/hyperlink" Target="mailto:=@sum(P59:T59)" TargetMode="External"/><Relationship Id="rId46" Type="http://schemas.openxmlformats.org/officeDocument/2006/relationships/hyperlink" Target="mailto:=@sum(AH18:AL18)" TargetMode="External"/><Relationship Id="rId59" Type="http://schemas.openxmlformats.org/officeDocument/2006/relationships/hyperlink" Target="mailto:=@sum(AH18:AL18)" TargetMode="External"/><Relationship Id="rId67" Type="http://schemas.openxmlformats.org/officeDocument/2006/relationships/hyperlink" Target="mailto:=@sum(AH18:AL18)" TargetMode="External"/><Relationship Id="rId20" Type="http://schemas.openxmlformats.org/officeDocument/2006/relationships/hyperlink" Target="mailto:=@sum(AH18:AL18)" TargetMode="External"/><Relationship Id="rId41" Type="http://schemas.openxmlformats.org/officeDocument/2006/relationships/hyperlink" Target="mailto:=@sum(P73:T73" TargetMode="External"/><Relationship Id="rId54" Type="http://schemas.openxmlformats.org/officeDocument/2006/relationships/hyperlink" Target="mailto:=@sum(Y17:AD17)" TargetMode="External"/><Relationship Id="rId62" Type="http://schemas.openxmlformats.org/officeDocument/2006/relationships/hyperlink" Target="mailto:=@sum(Y17:AD17)" TargetMode="External"/><Relationship Id="rId70" Type="http://schemas.openxmlformats.org/officeDocument/2006/relationships/printerSettings" Target="../printerSettings/printerSettings3.bin"/><Relationship Id="rId1" Type="http://schemas.openxmlformats.org/officeDocument/2006/relationships/hyperlink" Target="mailto:=@sum(P3:P8" TargetMode="External"/><Relationship Id="rId6" Type="http://schemas.openxmlformats.org/officeDocument/2006/relationships/hyperlink" Target="mailto:=@sum(P3:P8" TargetMode="External"/><Relationship Id="rId15" Type="http://schemas.openxmlformats.org/officeDocument/2006/relationships/hyperlink" Target="mailto:=@sum(P3:P8" TargetMode="External"/><Relationship Id="rId23" Type="http://schemas.openxmlformats.org/officeDocument/2006/relationships/hyperlink" Target="mailto:=@sum(AH3:AL3)" TargetMode="External"/><Relationship Id="rId28" Type="http://schemas.openxmlformats.org/officeDocument/2006/relationships/hyperlink" Target="mailto:=@sum(Y3:AC3)" TargetMode="External"/><Relationship Id="rId36" Type="http://schemas.openxmlformats.org/officeDocument/2006/relationships/hyperlink" Target="mailto:=@sum(P45:T45)" TargetMode="External"/><Relationship Id="rId49" Type="http://schemas.openxmlformats.org/officeDocument/2006/relationships/hyperlink" Target="mailto:=@sum(P3:P8" TargetMode="External"/><Relationship Id="rId57" Type="http://schemas.openxmlformats.org/officeDocument/2006/relationships/hyperlink" Target="mailto:=@sum(P3:P8" TargetMode="External"/><Relationship Id="rId10" Type="http://schemas.openxmlformats.org/officeDocument/2006/relationships/hyperlink" Target="mailto:=@sum(P3:P8" TargetMode="External"/><Relationship Id="rId31" Type="http://schemas.openxmlformats.org/officeDocument/2006/relationships/hyperlink" Target="mailto:=@sum(Y3:AC3)" TargetMode="External"/><Relationship Id="rId44" Type="http://schemas.openxmlformats.org/officeDocument/2006/relationships/hyperlink" Target="mailto:=@sum(P3:P8" TargetMode="External"/><Relationship Id="rId52" Type="http://schemas.openxmlformats.org/officeDocument/2006/relationships/hyperlink" Target="mailto:=@sum(AH18:AL18)" TargetMode="External"/><Relationship Id="rId60" Type="http://schemas.openxmlformats.org/officeDocument/2006/relationships/hyperlink" Target="mailto:=@sum(AH18:AL18)" TargetMode="External"/><Relationship Id="rId65" Type="http://schemas.openxmlformats.org/officeDocument/2006/relationships/hyperlink" Target="mailto:=@sum(P3:P8" TargetMode="External"/><Relationship Id="rId4" Type="http://schemas.openxmlformats.org/officeDocument/2006/relationships/hyperlink" Target="mailto:=@sum(P3:P8" TargetMode="External"/><Relationship Id="rId9" Type="http://schemas.openxmlformats.org/officeDocument/2006/relationships/hyperlink" Target="mailto:=@sum(P3:P8" TargetMode="External"/><Relationship Id="rId13" Type="http://schemas.openxmlformats.org/officeDocument/2006/relationships/hyperlink" Target="mailto:=@sum(P3:P8" TargetMode="External"/><Relationship Id="rId18" Type="http://schemas.openxmlformats.org/officeDocument/2006/relationships/hyperlink" Target="mailto:=@sum(P3:P8" TargetMode="External"/><Relationship Id="rId39" Type="http://schemas.openxmlformats.org/officeDocument/2006/relationships/hyperlink" Target="mailto:=@sum(P59:T59)" TargetMode="External"/><Relationship Id="rId34" Type="http://schemas.openxmlformats.org/officeDocument/2006/relationships/hyperlink" Target="mailto:=@sum(P3:U3" TargetMode="External"/><Relationship Id="rId50" Type="http://schemas.openxmlformats.org/officeDocument/2006/relationships/hyperlink" Target="mailto:=@sum(P3:P8" TargetMode="External"/><Relationship Id="rId55" Type="http://schemas.openxmlformats.org/officeDocument/2006/relationships/hyperlink" Target="mailto:=@sum(Y17:AD17)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mailto:=@sum(P3:U3" TargetMode="External"/><Relationship Id="rId21" Type="http://schemas.openxmlformats.org/officeDocument/2006/relationships/hyperlink" Target="mailto:=@sum(AH18:AL18)" TargetMode="External"/><Relationship Id="rId42" Type="http://schemas.openxmlformats.org/officeDocument/2006/relationships/hyperlink" Target="mailto:=@sum(P3:P8" TargetMode="External"/><Relationship Id="rId47" Type="http://schemas.openxmlformats.org/officeDocument/2006/relationships/hyperlink" Target="mailto:=@sum(Y17:AD17)" TargetMode="External"/><Relationship Id="rId63" Type="http://schemas.openxmlformats.org/officeDocument/2006/relationships/hyperlink" Target="mailto:=@sum(P3:P8" TargetMode="External"/><Relationship Id="rId68" Type="http://schemas.openxmlformats.org/officeDocument/2006/relationships/hyperlink" Target="mailto:=@sum(Y17:AD17)" TargetMode="External"/><Relationship Id="rId7" Type="http://schemas.openxmlformats.org/officeDocument/2006/relationships/hyperlink" Target="mailto:=@sum(P3:P8" TargetMode="External"/><Relationship Id="rId2" Type="http://schemas.openxmlformats.org/officeDocument/2006/relationships/hyperlink" Target="mailto:=@sum(P3:P8" TargetMode="External"/><Relationship Id="rId16" Type="http://schemas.openxmlformats.org/officeDocument/2006/relationships/hyperlink" Target="mailto:=@sum(P3:P8" TargetMode="External"/><Relationship Id="rId29" Type="http://schemas.openxmlformats.org/officeDocument/2006/relationships/hyperlink" Target="mailto:=@sum(Y17:AD17)" TargetMode="External"/><Relationship Id="rId11" Type="http://schemas.openxmlformats.org/officeDocument/2006/relationships/hyperlink" Target="mailto:=@sum(P3:P8" TargetMode="External"/><Relationship Id="rId24" Type="http://schemas.openxmlformats.org/officeDocument/2006/relationships/hyperlink" Target="mailto:=@sum(AH3:AL8)" TargetMode="External"/><Relationship Id="rId32" Type="http://schemas.openxmlformats.org/officeDocument/2006/relationships/hyperlink" Target="mailto:=@sum(Y3:AC3)" TargetMode="External"/><Relationship Id="rId37" Type="http://schemas.openxmlformats.org/officeDocument/2006/relationships/hyperlink" Target="mailto:=@sum(P45:T45)" TargetMode="External"/><Relationship Id="rId40" Type="http://schemas.openxmlformats.org/officeDocument/2006/relationships/hyperlink" Target="mailto:=@sum(P73:T73" TargetMode="External"/><Relationship Id="rId45" Type="http://schemas.openxmlformats.org/officeDocument/2006/relationships/hyperlink" Target="mailto:=@sum(AH18:AL18)" TargetMode="External"/><Relationship Id="rId53" Type="http://schemas.openxmlformats.org/officeDocument/2006/relationships/hyperlink" Target="mailto:=@sum(AH18:AL18)" TargetMode="External"/><Relationship Id="rId58" Type="http://schemas.openxmlformats.org/officeDocument/2006/relationships/hyperlink" Target="mailto:=@sum(P3:P8" TargetMode="External"/><Relationship Id="rId66" Type="http://schemas.openxmlformats.org/officeDocument/2006/relationships/hyperlink" Target="mailto:=@sum(AH18:AL18)" TargetMode="External"/><Relationship Id="rId5" Type="http://schemas.openxmlformats.org/officeDocument/2006/relationships/hyperlink" Target="mailto:=@sum(P3:P8" TargetMode="External"/><Relationship Id="rId61" Type="http://schemas.openxmlformats.org/officeDocument/2006/relationships/hyperlink" Target="mailto:=@sum(Y17:AD17)" TargetMode="External"/><Relationship Id="rId19" Type="http://schemas.openxmlformats.org/officeDocument/2006/relationships/hyperlink" Target="mailto:=@sum(P3:P8" TargetMode="External"/><Relationship Id="rId14" Type="http://schemas.openxmlformats.org/officeDocument/2006/relationships/hyperlink" Target="mailto:=@sum(P3:P8" TargetMode="External"/><Relationship Id="rId22" Type="http://schemas.openxmlformats.org/officeDocument/2006/relationships/hyperlink" Target="mailto:=@sum(AH3:AL3)" TargetMode="External"/><Relationship Id="rId27" Type="http://schemas.openxmlformats.org/officeDocument/2006/relationships/hyperlink" Target="mailto:=@sum(P3:U3" TargetMode="External"/><Relationship Id="rId30" Type="http://schemas.openxmlformats.org/officeDocument/2006/relationships/hyperlink" Target="mailto:=@sum(P3:U3" TargetMode="External"/><Relationship Id="rId35" Type="http://schemas.openxmlformats.org/officeDocument/2006/relationships/hyperlink" Target="mailto:=@sum(Y17:AD17)" TargetMode="External"/><Relationship Id="rId43" Type="http://schemas.openxmlformats.org/officeDocument/2006/relationships/hyperlink" Target="mailto:=@sum(P3:P8" TargetMode="External"/><Relationship Id="rId48" Type="http://schemas.openxmlformats.org/officeDocument/2006/relationships/hyperlink" Target="mailto:=@sum(Y17:AD17)" TargetMode="External"/><Relationship Id="rId56" Type="http://schemas.openxmlformats.org/officeDocument/2006/relationships/hyperlink" Target="mailto:=@sum(P3:P8" TargetMode="External"/><Relationship Id="rId64" Type="http://schemas.openxmlformats.org/officeDocument/2006/relationships/hyperlink" Target="mailto:=@sum(P3:P8" TargetMode="External"/><Relationship Id="rId69" Type="http://schemas.openxmlformats.org/officeDocument/2006/relationships/hyperlink" Target="mailto:=@sum(Y17:AD17)" TargetMode="External"/><Relationship Id="rId8" Type="http://schemas.openxmlformats.org/officeDocument/2006/relationships/hyperlink" Target="mailto:=@sum(P3:P8" TargetMode="External"/><Relationship Id="rId51" Type="http://schemas.openxmlformats.org/officeDocument/2006/relationships/hyperlink" Target="mailto:=@sum(P3:P8" TargetMode="External"/><Relationship Id="rId3" Type="http://schemas.openxmlformats.org/officeDocument/2006/relationships/hyperlink" Target="mailto:=@sum(P3:P8" TargetMode="External"/><Relationship Id="rId12" Type="http://schemas.openxmlformats.org/officeDocument/2006/relationships/hyperlink" Target="mailto:=@sum(P3:P8" TargetMode="External"/><Relationship Id="rId17" Type="http://schemas.openxmlformats.org/officeDocument/2006/relationships/hyperlink" Target="mailto:=@sum(P3:P8" TargetMode="External"/><Relationship Id="rId25" Type="http://schemas.openxmlformats.org/officeDocument/2006/relationships/hyperlink" Target="mailto:=@sum(P3:U3" TargetMode="External"/><Relationship Id="rId33" Type="http://schemas.openxmlformats.org/officeDocument/2006/relationships/hyperlink" Target="mailto:=@sum(P3:U3" TargetMode="External"/><Relationship Id="rId38" Type="http://schemas.openxmlformats.org/officeDocument/2006/relationships/hyperlink" Target="mailto:=@sum(P59:T59)" TargetMode="External"/><Relationship Id="rId46" Type="http://schemas.openxmlformats.org/officeDocument/2006/relationships/hyperlink" Target="mailto:=@sum(AH18:AL18)" TargetMode="External"/><Relationship Id="rId59" Type="http://schemas.openxmlformats.org/officeDocument/2006/relationships/hyperlink" Target="mailto:=@sum(AH18:AL18)" TargetMode="External"/><Relationship Id="rId67" Type="http://schemas.openxmlformats.org/officeDocument/2006/relationships/hyperlink" Target="mailto:=@sum(AH18:AL18)" TargetMode="External"/><Relationship Id="rId20" Type="http://schemas.openxmlformats.org/officeDocument/2006/relationships/hyperlink" Target="mailto:=@sum(AH18:AL18)" TargetMode="External"/><Relationship Id="rId41" Type="http://schemas.openxmlformats.org/officeDocument/2006/relationships/hyperlink" Target="mailto:=@sum(P73:T73" TargetMode="External"/><Relationship Id="rId54" Type="http://schemas.openxmlformats.org/officeDocument/2006/relationships/hyperlink" Target="mailto:=@sum(Y17:AD17)" TargetMode="External"/><Relationship Id="rId62" Type="http://schemas.openxmlformats.org/officeDocument/2006/relationships/hyperlink" Target="mailto:=@sum(Y17:AD17)" TargetMode="External"/><Relationship Id="rId1" Type="http://schemas.openxmlformats.org/officeDocument/2006/relationships/hyperlink" Target="mailto:=@sum(P3:P8" TargetMode="External"/><Relationship Id="rId6" Type="http://schemas.openxmlformats.org/officeDocument/2006/relationships/hyperlink" Target="mailto:=@sum(P3:P8" TargetMode="External"/><Relationship Id="rId15" Type="http://schemas.openxmlformats.org/officeDocument/2006/relationships/hyperlink" Target="mailto:=@sum(P3:P8" TargetMode="External"/><Relationship Id="rId23" Type="http://schemas.openxmlformats.org/officeDocument/2006/relationships/hyperlink" Target="mailto:=@sum(AH3:AL3)" TargetMode="External"/><Relationship Id="rId28" Type="http://schemas.openxmlformats.org/officeDocument/2006/relationships/hyperlink" Target="mailto:=@sum(Y3:AC3)" TargetMode="External"/><Relationship Id="rId36" Type="http://schemas.openxmlformats.org/officeDocument/2006/relationships/hyperlink" Target="mailto:=@sum(P45:T45)" TargetMode="External"/><Relationship Id="rId49" Type="http://schemas.openxmlformats.org/officeDocument/2006/relationships/hyperlink" Target="mailto:=@sum(P3:P8" TargetMode="External"/><Relationship Id="rId57" Type="http://schemas.openxmlformats.org/officeDocument/2006/relationships/hyperlink" Target="mailto:=@sum(P3:P8" TargetMode="External"/><Relationship Id="rId10" Type="http://schemas.openxmlformats.org/officeDocument/2006/relationships/hyperlink" Target="mailto:=@sum(P3:P8" TargetMode="External"/><Relationship Id="rId31" Type="http://schemas.openxmlformats.org/officeDocument/2006/relationships/hyperlink" Target="mailto:=@sum(Y3:AC3)" TargetMode="External"/><Relationship Id="rId44" Type="http://schemas.openxmlformats.org/officeDocument/2006/relationships/hyperlink" Target="mailto:=@sum(P3:P8" TargetMode="External"/><Relationship Id="rId52" Type="http://schemas.openxmlformats.org/officeDocument/2006/relationships/hyperlink" Target="mailto:=@sum(AH18:AL18)" TargetMode="External"/><Relationship Id="rId60" Type="http://schemas.openxmlformats.org/officeDocument/2006/relationships/hyperlink" Target="mailto:=@sum(AH18:AL18)" TargetMode="External"/><Relationship Id="rId65" Type="http://schemas.openxmlformats.org/officeDocument/2006/relationships/hyperlink" Target="mailto:=@sum(P3:P8" TargetMode="External"/><Relationship Id="rId4" Type="http://schemas.openxmlformats.org/officeDocument/2006/relationships/hyperlink" Target="mailto:=@sum(P3:P8" TargetMode="External"/><Relationship Id="rId9" Type="http://schemas.openxmlformats.org/officeDocument/2006/relationships/hyperlink" Target="mailto:=@sum(P3:P8" TargetMode="External"/><Relationship Id="rId13" Type="http://schemas.openxmlformats.org/officeDocument/2006/relationships/hyperlink" Target="mailto:=@sum(P3:P8" TargetMode="External"/><Relationship Id="rId18" Type="http://schemas.openxmlformats.org/officeDocument/2006/relationships/hyperlink" Target="mailto:=@sum(P3:P8" TargetMode="External"/><Relationship Id="rId39" Type="http://schemas.openxmlformats.org/officeDocument/2006/relationships/hyperlink" Target="mailto:=@sum(P59:T59)" TargetMode="External"/><Relationship Id="rId34" Type="http://schemas.openxmlformats.org/officeDocument/2006/relationships/hyperlink" Target="mailto:=@sum(P3:U3" TargetMode="External"/><Relationship Id="rId50" Type="http://schemas.openxmlformats.org/officeDocument/2006/relationships/hyperlink" Target="mailto:=@sum(P3:P8" TargetMode="External"/><Relationship Id="rId55" Type="http://schemas.openxmlformats.org/officeDocument/2006/relationships/hyperlink" Target="mailto:=@sum(Y17:AD17)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mailto:=@sum(Y17:AD17)" TargetMode="External"/><Relationship Id="rId21" Type="http://schemas.openxmlformats.org/officeDocument/2006/relationships/hyperlink" Target="mailto:=@sum(AH18:AL18)" TargetMode="External"/><Relationship Id="rId42" Type="http://schemas.openxmlformats.org/officeDocument/2006/relationships/hyperlink" Target="mailto:=@SUM(Y4:AC4)" TargetMode="External"/><Relationship Id="rId47" Type="http://schemas.openxmlformats.org/officeDocument/2006/relationships/hyperlink" Target="mailto:=@sum(Y31:Y32)" TargetMode="External"/><Relationship Id="rId63" Type="http://schemas.openxmlformats.org/officeDocument/2006/relationships/hyperlink" Target="mailto:=@sum(P3:P8" TargetMode="External"/><Relationship Id="rId68" Type="http://schemas.openxmlformats.org/officeDocument/2006/relationships/hyperlink" Target="mailto:=@SUM(AH45:AH46)" TargetMode="External"/><Relationship Id="rId2" Type="http://schemas.openxmlformats.org/officeDocument/2006/relationships/hyperlink" Target="mailto:=@sum(AH18:AL18)" TargetMode="External"/><Relationship Id="rId16" Type="http://schemas.openxmlformats.org/officeDocument/2006/relationships/hyperlink" Target="mailto:=@sum(P59:T59)" TargetMode="External"/><Relationship Id="rId29" Type="http://schemas.openxmlformats.org/officeDocument/2006/relationships/hyperlink" Target="mailto:=@sum(AH18:AL18)" TargetMode="External"/><Relationship Id="rId11" Type="http://schemas.openxmlformats.org/officeDocument/2006/relationships/hyperlink" Target="mailto:=@sum(P3:U3" TargetMode="External"/><Relationship Id="rId24" Type="http://schemas.openxmlformats.org/officeDocument/2006/relationships/hyperlink" Target="mailto:=@sum(AH18:AL18)" TargetMode="External"/><Relationship Id="rId32" Type="http://schemas.openxmlformats.org/officeDocument/2006/relationships/hyperlink" Target="mailto:=@sum(AH18:AL18)" TargetMode="External"/><Relationship Id="rId37" Type="http://schemas.openxmlformats.org/officeDocument/2006/relationships/hyperlink" Target="mailto:=@sum(AH3:AL3)" TargetMode="External"/><Relationship Id="rId40" Type="http://schemas.openxmlformats.org/officeDocument/2006/relationships/hyperlink" Target="mailto:=@sum(P17:P18)" TargetMode="External"/><Relationship Id="rId45" Type="http://schemas.openxmlformats.org/officeDocument/2006/relationships/hyperlink" Target="mailto:=@sum(P31:P32)" TargetMode="External"/><Relationship Id="rId53" Type="http://schemas.openxmlformats.org/officeDocument/2006/relationships/hyperlink" Target="mailto:=@sum(P59:P60)" TargetMode="External"/><Relationship Id="rId58" Type="http://schemas.openxmlformats.org/officeDocument/2006/relationships/hyperlink" Target="mailto:=@sum(Y59:Y60)" TargetMode="External"/><Relationship Id="rId66" Type="http://schemas.openxmlformats.org/officeDocument/2006/relationships/hyperlink" Target="mailto:=@SUM(AH31:AH32)" TargetMode="External"/><Relationship Id="rId74" Type="http://schemas.openxmlformats.org/officeDocument/2006/relationships/hyperlink" Target="mailto:=@sum(AH18:AL18)" TargetMode="External"/><Relationship Id="rId5" Type="http://schemas.openxmlformats.org/officeDocument/2006/relationships/hyperlink" Target="mailto:=@sum(AH3:AL8)" TargetMode="External"/><Relationship Id="rId61" Type="http://schemas.openxmlformats.org/officeDocument/2006/relationships/hyperlink" Target="mailto:=@sum(Y73:Y74)" TargetMode="External"/><Relationship Id="rId19" Type="http://schemas.openxmlformats.org/officeDocument/2006/relationships/hyperlink" Target="mailto:=@sum(P73:T73" TargetMode="External"/><Relationship Id="rId14" Type="http://schemas.openxmlformats.org/officeDocument/2006/relationships/hyperlink" Target="mailto:=@sum(P45:T45)" TargetMode="External"/><Relationship Id="rId22" Type="http://schemas.openxmlformats.org/officeDocument/2006/relationships/hyperlink" Target="mailto:=@sum(Y17:AD17)" TargetMode="External"/><Relationship Id="rId27" Type="http://schemas.openxmlformats.org/officeDocument/2006/relationships/hyperlink" Target="mailto:=@sum(Y17:AD17)" TargetMode="External"/><Relationship Id="rId30" Type="http://schemas.openxmlformats.org/officeDocument/2006/relationships/hyperlink" Target="mailto:=@sum(Y17:AD17)" TargetMode="External"/><Relationship Id="rId35" Type="http://schemas.openxmlformats.org/officeDocument/2006/relationships/hyperlink" Target="mailto:=@sum(Y3:Y4)" TargetMode="External"/><Relationship Id="rId43" Type="http://schemas.openxmlformats.org/officeDocument/2006/relationships/hyperlink" Target="mailto:=@sum(Y17:Y18)" TargetMode="External"/><Relationship Id="rId48" Type="http://schemas.openxmlformats.org/officeDocument/2006/relationships/hyperlink" Target="mailto:=@sum(Y31:Y32)" TargetMode="External"/><Relationship Id="rId56" Type="http://schemas.openxmlformats.org/officeDocument/2006/relationships/hyperlink" Target="mailto:=@sum(P73:P74)" TargetMode="External"/><Relationship Id="rId64" Type="http://schemas.openxmlformats.org/officeDocument/2006/relationships/hyperlink" Target="mailto:=@sum(AH17:AH18)" TargetMode="External"/><Relationship Id="rId69" Type="http://schemas.openxmlformats.org/officeDocument/2006/relationships/hyperlink" Target="mailto:=@SUM(AH45:AH46)" TargetMode="External"/><Relationship Id="rId8" Type="http://schemas.openxmlformats.org/officeDocument/2006/relationships/hyperlink" Target="mailto:=@sum(P3:U3" TargetMode="External"/><Relationship Id="rId51" Type="http://schemas.openxmlformats.org/officeDocument/2006/relationships/hyperlink" Target="mailto:=@sum(Y45:Y46" TargetMode="External"/><Relationship Id="rId72" Type="http://schemas.openxmlformats.org/officeDocument/2006/relationships/hyperlink" Target="mailto:=@SUM(AH74:AH75)" TargetMode="External"/><Relationship Id="rId3" Type="http://schemas.openxmlformats.org/officeDocument/2006/relationships/hyperlink" Target="mailto:=@sum(AH18:AL18)" TargetMode="External"/><Relationship Id="rId12" Type="http://schemas.openxmlformats.org/officeDocument/2006/relationships/hyperlink" Target="mailto:=@sum(P3:U3" TargetMode="External"/><Relationship Id="rId17" Type="http://schemas.openxmlformats.org/officeDocument/2006/relationships/hyperlink" Target="mailto:=@sum(P59:T59)" TargetMode="External"/><Relationship Id="rId25" Type="http://schemas.openxmlformats.org/officeDocument/2006/relationships/hyperlink" Target="mailto:=@sum(AH18:AL18)" TargetMode="External"/><Relationship Id="rId33" Type="http://schemas.openxmlformats.org/officeDocument/2006/relationships/hyperlink" Target="mailto:=@sum(Y17:AD17)" TargetMode="External"/><Relationship Id="rId38" Type="http://schemas.openxmlformats.org/officeDocument/2006/relationships/hyperlink" Target="mailto:=@sum(AH3:AH4)" TargetMode="External"/><Relationship Id="rId46" Type="http://schemas.openxmlformats.org/officeDocument/2006/relationships/hyperlink" Target="mailto:=@sum(P31:P32)" TargetMode="External"/><Relationship Id="rId59" Type="http://schemas.openxmlformats.org/officeDocument/2006/relationships/hyperlink" Target="mailto:=@sum(Y73:Y74)" TargetMode="External"/><Relationship Id="rId67" Type="http://schemas.openxmlformats.org/officeDocument/2006/relationships/hyperlink" Target="mailto:=@SUM(AH31:AH32)" TargetMode="External"/><Relationship Id="rId20" Type="http://schemas.openxmlformats.org/officeDocument/2006/relationships/hyperlink" Target="mailto:=@sum(AH18:AL18)" TargetMode="External"/><Relationship Id="rId41" Type="http://schemas.openxmlformats.org/officeDocument/2006/relationships/hyperlink" Target="mailto:=@sum(P17:P18)" TargetMode="External"/><Relationship Id="rId54" Type="http://schemas.openxmlformats.org/officeDocument/2006/relationships/hyperlink" Target="mailto:=@sum(P59:P60)" TargetMode="External"/><Relationship Id="rId62" Type="http://schemas.openxmlformats.org/officeDocument/2006/relationships/hyperlink" Target="mailto:=@SUM(Y4:AC4)" TargetMode="External"/><Relationship Id="rId70" Type="http://schemas.openxmlformats.org/officeDocument/2006/relationships/hyperlink" Target="mailto:=@SUM(AH59:AH60)" TargetMode="External"/><Relationship Id="rId1" Type="http://schemas.openxmlformats.org/officeDocument/2006/relationships/hyperlink" Target="mailto:=@sum(P3:P8" TargetMode="External"/><Relationship Id="rId6" Type="http://schemas.openxmlformats.org/officeDocument/2006/relationships/hyperlink" Target="mailto:=@sum(P3:U3" TargetMode="External"/><Relationship Id="rId15" Type="http://schemas.openxmlformats.org/officeDocument/2006/relationships/hyperlink" Target="mailto:=@sum(P45:T45)" TargetMode="External"/><Relationship Id="rId23" Type="http://schemas.openxmlformats.org/officeDocument/2006/relationships/hyperlink" Target="mailto:=@sum(Y17:AD17)" TargetMode="External"/><Relationship Id="rId28" Type="http://schemas.openxmlformats.org/officeDocument/2006/relationships/hyperlink" Target="mailto:=@sum(AH18:AL18)" TargetMode="External"/><Relationship Id="rId36" Type="http://schemas.openxmlformats.org/officeDocument/2006/relationships/hyperlink" Target="mailto:=@sum(Y3:Y4)" TargetMode="External"/><Relationship Id="rId49" Type="http://schemas.openxmlformats.org/officeDocument/2006/relationships/hyperlink" Target="mailto:=@sum(P45:P46)" TargetMode="External"/><Relationship Id="rId57" Type="http://schemas.openxmlformats.org/officeDocument/2006/relationships/hyperlink" Target="mailto:=@sum(Y59:Y60)" TargetMode="External"/><Relationship Id="rId10" Type="http://schemas.openxmlformats.org/officeDocument/2006/relationships/hyperlink" Target="mailto:=@sum(P3:U3" TargetMode="External"/><Relationship Id="rId31" Type="http://schemas.openxmlformats.org/officeDocument/2006/relationships/hyperlink" Target="mailto:=@sum(Y17:AD17)" TargetMode="External"/><Relationship Id="rId44" Type="http://schemas.openxmlformats.org/officeDocument/2006/relationships/hyperlink" Target="mailto:=@sum(Y17:Y18)" TargetMode="External"/><Relationship Id="rId52" Type="http://schemas.openxmlformats.org/officeDocument/2006/relationships/hyperlink" Target="mailto:=@sum(Y45:Y46" TargetMode="External"/><Relationship Id="rId60" Type="http://schemas.openxmlformats.org/officeDocument/2006/relationships/hyperlink" Target="mailto:=@sum(Y73:Y74)" TargetMode="External"/><Relationship Id="rId65" Type="http://schemas.openxmlformats.org/officeDocument/2006/relationships/hyperlink" Target="mailto:=@sum(AH17:AH18)" TargetMode="External"/><Relationship Id="rId73" Type="http://schemas.openxmlformats.org/officeDocument/2006/relationships/hyperlink" Target="mailto:=@SUM(AH74:AH75)" TargetMode="External"/><Relationship Id="rId4" Type="http://schemas.openxmlformats.org/officeDocument/2006/relationships/hyperlink" Target="mailto:=@sum(AH3:AL3)" TargetMode="External"/><Relationship Id="rId9" Type="http://schemas.openxmlformats.org/officeDocument/2006/relationships/hyperlink" Target="mailto:=@sum(Y17:AD17)" TargetMode="External"/><Relationship Id="rId13" Type="http://schemas.openxmlformats.org/officeDocument/2006/relationships/hyperlink" Target="mailto:=@sum(Y17:AD17)" TargetMode="External"/><Relationship Id="rId18" Type="http://schemas.openxmlformats.org/officeDocument/2006/relationships/hyperlink" Target="mailto:=@sum(P73:T73" TargetMode="External"/><Relationship Id="rId39" Type="http://schemas.openxmlformats.org/officeDocument/2006/relationships/hyperlink" Target="mailto:=@sum(AH3:AH4)" TargetMode="External"/><Relationship Id="rId34" Type="http://schemas.openxmlformats.org/officeDocument/2006/relationships/hyperlink" Target="mailto:=@SUM(Y4:AC4)" TargetMode="External"/><Relationship Id="rId50" Type="http://schemas.openxmlformats.org/officeDocument/2006/relationships/hyperlink" Target="mailto:=@sum(P45:P46)" TargetMode="External"/><Relationship Id="rId55" Type="http://schemas.openxmlformats.org/officeDocument/2006/relationships/hyperlink" Target="mailto:=@sum(P73:P74)" TargetMode="External"/><Relationship Id="rId7" Type="http://schemas.openxmlformats.org/officeDocument/2006/relationships/hyperlink" Target="mailto:=@sum(P3:U3" TargetMode="External"/><Relationship Id="rId71" Type="http://schemas.openxmlformats.org/officeDocument/2006/relationships/hyperlink" Target="mailto:=@SUM(AH59:AH60)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=@sum(P3:P8" TargetMode="External"/><Relationship Id="rId7" Type="http://schemas.openxmlformats.org/officeDocument/2006/relationships/hyperlink" Target="mailto:=@sum(P19:U19)" TargetMode="External"/><Relationship Id="rId2" Type="http://schemas.openxmlformats.org/officeDocument/2006/relationships/hyperlink" Target="mailto:=@sum(P3:P8" TargetMode="External"/><Relationship Id="rId1" Type="http://schemas.openxmlformats.org/officeDocument/2006/relationships/hyperlink" Target="mailto:=@sum(P3:U3" TargetMode="External"/><Relationship Id="rId6" Type="http://schemas.openxmlformats.org/officeDocument/2006/relationships/hyperlink" Target="mailto:=@sum(P3:P8" TargetMode="External"/><Relationship Id="rId5" Type="http://schemas.openxmlformats.org/officeDocument/2006/relationships/hyperlink" Target="mailto:=@sum(P3:P8" TargetMode="External"/><Relationship Id="rId4" Type="http://schemas.openxmlformats.org/officeDocument/2006/relationships/hyperlink" Target="mailto:=@sum(P3:U3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mailto:=@sum(AH18:AL18)" TargetMode="External"/><Relationship Id="rId18" Type="http://schemas.openxmlformats.org/officeDocument/2006/relationships/hyperlink" Target="mailto:=@sum(Y17:AD17)" TargetMode="External"/><Relationship Id="rId26" Type="http://schemas.openxmlformats.org/officeDocument/2006/relationships/hyperlink" Target="mailto:=@sum(AH18:AL18)" TargetMode="External"/><Relationship Id="rId39" Type="http://schemas.openxmlformats.org/officeDocument/2006/relationships/hyperlink" Target="mailto:=@sum(P3:P5)" TargetMode="External"/><Relationship Id="rId21" Type="http://schemas.openxmlformats.org/officeDocument/2006/relationships/hyperlink" Target="mailto:=@SUM(Y4:AC4)" TargetMode="External"/><Relationship Id="rId34" Type="http://schemas.openxmlformats.org/officeDocument/2006/relationships/hyperlink" Target="mailto:=@sum(Y17:Y19)" TargetMode="External"/><Relationship Id="rId42" Type="http://schemas.openxmlformats.org/officeDocument/2006/relationships/hyperlink" Target="mailto:=@sum(Y31:Y33)" TargetMode="External"/><Relationship Id="rId47" Type="http://schemas.openxmlformats.org/officeDocument/2006/relationships/hyperlink" Target="mailto:-@SUM(Y45:Y47)" TargetMode="External"/><Relationship Id="rId50" Type="http://schemas.openxmlformats.org/officeDocument/2006/relationships/hyperlink" Target="mailto:=@SUM(AH45:AH47)" TargetMode="External"/><Relationship Id="rId55" Type="http://schemas.openxmlformats.org/officeDocument/2006/relationships/hyperlink" Target="mailto:=@SUM(AH59:AH61)" TargetMode="External"/><Relationship Id="rId63" Type="http://schemas.openxmlformats.org/officeDocument/2006/relationships/hyperlink" Target="mailto:=@sum(AH73:AH75)" TargetMode="External"/><Relationship Id="rId7" Type="http://schemas.openxmlformats.org/officeDocument/2006/relationships/hyperlink" Target="mailto:=@sum(P3:U3" TargetMode="External"/><Relationship Id="rId2" Type="http://schemas.openxmlformats.org/officeDocument/2006/relationships/hyperlink" Target="mailto:=@sum(AH3:AL3)" TargetMode="External"/><Relationship Id="rId16" Type="http://schemas.openxmlformats.org/officeDocument/2006/relationships/hyperlink" Target="mailto:=@sum(Y17:AD17)" TargetMode="External"/><Relationship Id="rId29" Type="http://schemas.openxmlformats.org/officeDocument/2006/relationships/hyperlink" Target="mailto:=@sum(Y3:Y5)" TargetMode="External"/><Relationship Id="rId11" Type="http://schemas.openxmlformats.org/officeDocument/2006/relationships/hyperlink" Target="mailto:=@sum(P73:T73" TargetMode="External"/><Relationship Id="rId24" Type="http://schemas.openxmlformats.org/officeDocument/2006/relationships/hyperlink" Target="mailto:=@SUM(Y4:AC4)" TargetMode="External"/><Relationship Id="rId32" Type="http://schemas.openxmlformats.org/officeDocument/2006/relationships/hyperlink" Target="mailto:=@sum(P3:U3" TargetMode="External"/><Relationship Id="rId37" Type="http://schemas.openxmlformats.org/officeDocument/2006/relationships/hyperlink" Target="mailto:=@sum(P3:U3" TargetMode="External"/><Relationship Id="rId40" Type="http://schemas.openxmlformats.org/officeDocument/2006/relationships/hyperlink" Target="mailto:=@sum(P3:U3" TargetMode="External"/><Relationship Id="rId45" Type="http://schemas.openxmlformats.org/officeDocument/2006/relationships/hyperlink" Target="mailto:=@sum(P45:P47)" TargetMode="External"/><Relationship Id="rId53" Type="http://schemas.openxmlformats.org/officeDocument/2006/relationships/hyperlink" Target="mailto:=@SUM(Y59:Y61)" TargetMode="External"/><Relationship Id="rId58" Type="http://schemas.openxmlformats.org/officeDocument/2006/relationships/hyperlink" Target="mailto:=@sum(P73:P75)" TargetMode="External"/><Relationship Id="rId5" Type="http://schemas.openxmlformats.org/officeDocument/2006/relationships/hyperlink" Target="mailto:=@sum(Y17:AD17)" TargetMode="External"/><Relationship Id="rId61" Type="http://schemas.openxmlformats.org/officeDocument/2006/relationships/hyperlink" Target="mailto:=@sum(AH18:AL18)" TargetMode="External"/><Relationship Id="rId19" Type="http://schemas.openxmlformats.org/officeDocument/2006/relationships/hyperlink" Target="mailto:=@sum(AH18:AL18)" TargetMode="External"/><Relationship Id="rId14" Type="http://schemas.openxmlformats.org/officeDocument/2006/relationships/hyperlink" Target="mailto:=@sum(Y17:AD17)" TargetMode="External"/><Relationship Id="rId22" Type="http://schemas.openxmlformats.org/officeDocument/2006/relationships/hyperlink" Target="mailto:=@sum(AH3:AL3)" TargetMode="External"/><Relationship Id="rId27" Type="http://schemas.openxmlformats.org/officeDocument/2006/relationships/hyperlink" Target="mailto:=@sum(P3:P5)" TargetMode="External"/><Relationship Id="rId30" Type="http://schemas.openxmlformats.org/officeDocument/2006/relationships/hyperlink" Target="mailto:=@sum(Y3:Y5)" TargetMode="External"/><Relationship Id="rId35" Type="http://schemas.openxmlformats.org/officeDocument/2006/relationships/hyperlink" Target="mailto:=@sum(AH17:AH19)" TargetMode="External"/><Relationship Id="rId43" Type="http://schemas.openxmlformats.org/officeDocument/2006/relationships/hyperlink" Target="mailto:=@sum(AH31:AH33)" TargetMode="External"/><Relationship Id="rId48" Type="http://schemas.openxmlformats.org/officeDocument/2006/relationships/hyperlink" Target="mailto:-@SUM(Y45:Y47)" TargetMode="External"/><Relationship Id="rId56" Type="http://schemas.openxmlformats.org/officeDocument/2006/relationships/hyperlink" Target="mailto:=@SUM(AH59:AH61)" TargetMode="External"/><Relationship Id="rId8" Type="http://schemas.openxmlformats.org/officeDocument/2006/relationships/hyperlink" Target="mailto:=@sum(P3:U3" TargetMode="External"/><Relationship Id="rId51" Type="http://schemas.openxmlformats.org/officeDocument/2006/relationships/hyperlink" Target="mailto:=@sum(P59:P61)" TargetMode="External"/><Relationship Id="rId3" Type="http://schemas.openxmlformats.org/officeDocument/2006/relationships/hyperlink" Target="mailto:=@sum(AH3:AL8)" TargetMode="External"/><Relationship Id="rId12" Type="http://schemas.openxmlformats.org/officeDocument/2006/relationships/hyperlink" Target="mailto:=@sum(AH18:AL18)" TargetMode="External"/><Relationship Id="rId17" Type="http://schemas.openxmlformats.org/officeDocument/2006/relationships/hyperlink" Target="mailto:=@sum(AH18:AL18)" TargetMode="External"/><Relationship Id="rId25" Type="http://schemas.openxmlformats.org/officeDocument/2006/relationships/hyperlink" Target="mailto:=@SUM(AH59:AH60)" TargetMode="External"/><Relationship Id="rId33" Type="http://schemas.openxmlformats.org/officeDocument/2006/relationships/hyperlink" Target="mailto:=@sum(Y17:Y19)" TargetMode="External"/><Relationship Id="rId38" Type="http://schemas.openxmlformats.org/officeDocument/2006/relationships/hyperlink" Target="mailto:=@sum(P3:P5)" TargetMode="External"/><Relationship Id="rId46" Type="http://schemas.openxmlformats.org/officeDocument/2006/relationships/hyperlink" Target="mailto:=@sum(P45:P47)" TargetMode="External"/><Relationship Id="rId59" Type="http://schemas.openxmlformats.org/officeDocument/2006/relationships/hyperlink" Target="mailto:=@sum(Y73:Y75)" TargetMode="External"/><Relationship Id="rId20" Type="http://schemas.openxmlformats.org/officeDocument/2006/relationships/hyperlink" Target="mailto:=@sum(Y17:AD17)" TargetMode="External"/><Relationship Id="rId41" Type="http://schemas.openxmlformats.org/officeDocument/2006/relationships/hyperlink" Target="mailto:=@sum(Y31:Y33)" TargetMode="External"/><Relationship Id="rId54" Type="http://schemas.openxmlformats.org/officeDocument/2006/relationships/hyperlink" Target="mailto:=@SUM(Y59:Y61)" TargetMode="External"/><Relationship Id="rId62" Type="http://schemas.openxmlformats.org/officeDocument/2006/relationships/hyperlink" Target="mailto:=@sum(AH73:AH75)" TargetMode="External"/><Relationship Id="rId1" Type="http://schemas.openxmlformats.org/officeDocument/2006/relationships/hyperlink" Target="mailto:=@sum(AH18:AL18)" TargetMode="External"/><Relationship Id="rId6" Type="http://schemas.openxmlformats.org/officeDocument/2006/relationships/hyperlink" Target="mailto:=@sum(P3:U3" TargetMode="External"/><Relationship Id="rId15" Type="http://schemas.openxmlformats.org/officeDocument/2006/relationships/hyperlink" Target="mailto:=@sum(AH18:AL18)" TargetMode="External"/><Relationship Id="rId23" Type="http://schemas.openxmlformats.org/officeDocument/2006/relationships/hyperlink" Target="mailto:=@SUM(Y4:AC4)" TargetMode="External"/><Relationship Id="rId28" Type="http://schemas.openxmlformats.org/officeDocument/2006/relationships/hyperlink" Target="mailto:=@sum(P3:P5)" TargetMode="External"/><Relationship Id="rId36" Type="http://schemas.openxmlformats.org/officeDocument/2006/relationships/hyperlink" Target="mailto:=@sum(AH17:AH19)" TargetMode="External"/><Relationship Id="rId49" Type="http://schemas.openxmlformats.org/officeDocument/2006/relationships/hyperlink" Target="mailto:=@SUM(AH45:AH47)" TargetMode="External"/><Relationship Id="rId57" Type="http://schemas.openxmlformats.org/officeDocument/2006/relationships/hyperlink" Target="mailto:=@sum(P73:P75)" TargetMode="External"/><Relationship Id="rId10" Type="http://schemas.openxmlformats.org/officeDocument/2006/relationships/hyperlink" Target="mailto:=@sum(P59:T59)" TargetMode="External"/><Relationship Id="rId31" Type="http://schemas.openxmlformats.org/officeDocument/2006/relationships/hyperlink" Target="mailto:=@sum(AH3:AH5)" TargetMode="External"/><Relationship Id="rId44" Type="http://schemas.openxmlformats.org/officeDocument/2006/relationships/hyperlink" Target="mailto:=@sum(AH31:AH33)" TargetMode="External"/><Relationship Id="rId52" Type="http://schemas.openxmlformats.org/officeDocument/2006/relationships/hyperlink" Target="mailto:=@sum(P59:P61)" TargetMode="External"/><Relationship Id="rId60" Type="http://schemas.openxmlformats.org/officeDocument/2006/relationships/hyperlink" Target="mailto:=@sum(Y73:Y75)" TargetMode="External"/><Relationship Id="rId4" Type="http://schemas.openxmlformats.org/officeDocument/2006/relationships/hyperlink" Target="mailto:=@sum(P3:U3" TargetMode="External"/><Relationship Id="rId9" Type="http://schemas.openxmlformats.org/officeDocument/2006/relationships/hyperlink" Target="mailto:=@sum(P45:T45)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mailto:=@sum(P3:U3" TargetMode="External"/><Relationship Id="rId21" Type="http://schemas.openxmlformats.org/officeDocument/2006/relationships/hyperlink" Target="mailto:=@SUM(Y4:AC4)" TargetMode="External"/><Relationship Id="rId34" Type="http://schemas.openxmlformats.org/officeDocument/2006/relationships/hyperlink" Target="mailto:-@SUM(Y45:Y47)" TargetMode="External"/><Relationship Id="rId42" Type="http://schemas.openxmlformats.org/officeDocument/2006/relationships/hyperlink" Target="mailto:=@sum(P3:P6)" TargetMode="External"/><Relationship Id="rId47" Type="http://schemas.openxmlformats.org/officeDocument/2006/relationships/hyperlink" Target="mailto:=@sum(AH3:AH5)" TargetMode="External"/><Relationship Id="rId50" Type="http://schemas.openxmlformats.org/officeDocument/2006/relationships/hyperlink" Target="mailto:=@sum(Y17:Y19)" TargetMode="External"/><Relationship Id="rId55" Type="http://schemas.openxmlformats.org/officeDocument/2006/relationships/hyperlink" Target="mailto:=@sum(AH31:AH33)" TargetMode="External"/><Relationship Id="rId63" Type="http://schemas.openxmlformats.org/officeDocument/2006/relationships/hyperlink" Target="mailto:=@sum(Y73:Y75)" TargetMode="External"/><Relationship Id="rId7" Type="http://schemas.openxmlformats.org/officeDocument/2006/relationships/hyperlink" Target="mailto:=@sum(P45:T45)" TargetMode="External"/><Relationship Id="rId2" Type="http://schemas.openxmlformats.org/officeDocument/2006/relationships/hyperlink" Target="mailto:=@sum(AH3:AL3)" TargetMode="External"/><Relationship Id="rId16" Type="http://schemas.openxmlformats.org/officeDocument/2006/relationships/hyperlink" Target="mailto:=@sum(AH18:AL18)" TargetMode="External"/><Relationship Id="rId29" Type="http://schemas.openxmlformats.org/officeDocument/2006/relationships/hyperlink" Target="mailto:=@sum(P3:U3" TargetMode="External"/><Relationship Id="rId11" Type="http://schemas.openxmlformats.org/officeDocument/2006/relationships/hyperlink" Target="mailto:=@sum(Y17:AD17)" TargetMode="External"/><Relationship Id="rId24" Type="http://schemas.openxmlformats.org/officeDocument/2006/relationships/hyperlink" Target="mailto:=@sum(Y3:Y5)" TargetMode="External"/><Relationship Id="rId32" Type="http://schemas.openxmlformats.org/officeDocument/2006/relationships/hyperlink" Target="mailto:=@sum(AH31:AH33)" TargetMode="External"/><Relationship Id="rId37" Type="http://schemas.openxmlformats.org/officeDocument/2006/relationships/hyperlink" Target="mailto:=@SUM(Y59:Y61)" TargetMode="External"/><Relationship Id="rId40" Type="http://schemas.openxmlformats.org/officeDocument/2006/relationships/hyperlink" Target="mailto:=@sum(Y73:Y75)" TargetMode="External"/><Relationship Id="rId45" Type="http://schemas.openxmlformats.org/officeDocument/2006/relationships/hyperlink" Target="mailto:=@sum(AH3:AL3)" TargetMode="External"/><Relationship Id="rId53" Type="http://schemas.openxmlformats.org/officeDocument/2006/relationships/hyperlink" Target="mailto:=@sum(P3:P5)" TargetMode="External"/><Relationship Id="rId58" Type="http://schemas.openxmlformats.org/officeDocument/2006/relationships/hyperlink" Target="mailto:=@SUM(AH45:AH47)" TargetMode="External"/><Relationship Id="rId5" Type="http://schemas.openxmlformats.org/officeDocument/2006/relationships/hyperlink" Target="mailto:=@sum(P3:U3" TargetMode="External"/><Relationship Id="rId61" Type="http://schemas.openxmlformats.org/officeDocument/2006/relationships/hyperlink" Target="mailto:=@SUM(AH59:AH61)" TargetMode="External"/><Relationship Id="rId19" Type="http://schemas.openxmlformats.org/officeDocument/2006/relationships/hyperlink" Target="mailto:=@sum(AH3:AL3)" TargetMode="External"/><Relationship Id="rId14" Type="http://schemas.openxmlformats.org/officeDocument/2006/relationships/hyperlink" Target="mailto:=@sum(AH18:AL18)" TargetMode="External"/><Relationship Id="rId22" Type="http://schemas.openxmlformats.org/officeDocument/2006/relationships/hyperlink" Target="mailto:=@sum(AH18:AL18)" TargetMode="External"/><Relationship Id="rId27" Type="http://schemas.openxmlformats.org/officeDocument/2006/relationships/hyperlink" Target="mailto:=@sum(Y17:Y19)" TargetMode="External"/><Relationship Id="rId30" Type="http://schemas.openxmlformats.org/officeDocument/2006/relationships/hyperlink" Target="mailto:=@sum(P3:P5)" TargetMode="External"/><Relationship Id="rId35" Type="http://schemas.openxmlformats.org/officeDocument/2006/relationships/hyperlink" Target="mailto:=@SUM(AH45:AH47)" TargetMode="External"/><Relationship Id="rId43" Type="http://schemas.openxmlformats.org/officeDocument/2006/relationships/hyperlink" Target="mailto:=@SUM(Y4:AC4)" TargetMode="External"/><Relationship Id="rId48" Type="http://schemas.openxmlformats.org/officeDocument/2006/relationships/hyperlink" Target="mailto:=@sum(P17:P20)" TargetMode="External"/><Relationship Id="rId56" Type="http://schemas.openxmlformats.org/officeDocument/2006/relationships/hyperlink" Target="mailto:=@sum(P45:P47)" TargetMode="External"/><Relationship Id="rId64" Type="http://schemas.openxmlformats.org/officeDocument/2006/relationships/hyperlink" Target="mailto:=@sum(AH73:AH76)" TargetMode="External"/><Relationship Id="rId8" Type="http://schemas.openxmlformats.org/officeDocument/2006/relationships/hyperlink" Target="mailto:=@sum(P59:T59)" TargetMode="External"/><Relationship Id="rId51" Type="http://schemas.openxmlformats.org/officeDocument/2006/relationships/hyperlink" Target="mailto:=@sum(AH17:AH19)" TargetMode="External"/><Relationship Id="rId3" Type="http://schemas.openxmlformats.org/officeDocument/2006/relationships/hyperlink" Target="mailto:=@sum(AH3:AL8)" TargetMode="External"/><Relationship Id="rId12" Type="http://schemas.openxmlformats.org/officeDocument/2006/relationships/hyperlink" Target="mailto:=@sum(AH18:AL18)" TargetMode="External"/><Relationship Id="rId17" Type="http://schemas.openxmlformats.org/officeDocument/2006/relationships/hyperlink" Target="mailto:=@sum(Y17:AD17)" TargetMode="External"/><Relationship Id="rId25" Type="http://schemas.openxmlformats.org/officeDocument/2006/relationships/hyperlink" Target="mailto:=@sum(AH3:AH5)" TargetMode="External"/><Relationship Id="rId33" Type="http://schemas.openxmlformats.org/officeDocument/2006/relationships/hyperlink" Target="mailto:=@sum(P45:P47)" TargetMode="External"/><Relationship Id="rId38" Type="http://schemas.openxmlformats.org/officeDocument/2006/relationships/hyperlink" Target="mailto:=@SUM(AH59:AH61)" TargetMode="External"/><Relationship Id="rId46" Type="http://schemas.openxmlformats.org/officeDocument/2006/relationships/hyperlink" Target="mailto:=@sum(AH3:AH5)" TargetMode="External"/><Relationship Id="rId59" Type="http://schemas.openxmlformats.org/officeDocument/2006/relationships/hyperlink" Target="mailto:=@sum(P59:P61)" TargetMode="External"/><Relationship Id="rId20" Type="http://schemas.openxmlformats.org/officeDocument/2006/relationships/hyperlink" Target="mailto:=@SUM(Y4:AC4)" TargetMode="External"/><Relationship Id="rId41" Type="http://schemas.openxmlformats.org/officeDocument/2006/relationships/hyperlink" Target="mailto:=@sum(P3:P6)" TargetMode="External"/><Relationship Id="rId54" Type="http://schemas.openxmlformats.org/officeDocument/2006/relationships/hyperlink" Target="mailto:=@sum(Y31:Y33)" TargetMode="External"/><Relationship Id="rId62" Type="http://schemas.openxmlformats.org/officeDocument/2006/relationships/hyperlink" Target="mailto:=@sum(P73:P75)" TargetMode="External"/><Relationship Id="rId1" Type="http://schemas.openxmlformats.org/officeDocument/2006/relationships/hyperlink" Target="mailto:=@sum(AH18:AL18)" TargetMode="External"/><Relationship Id="rId6" Type="http://schemas.openxmlformats.org/officeDocument/2006/relationships/hyperlink" Target="mailto:=@sum(P3:U3" TargetMode="External"/><Relationship Id="rId15" Type="http://schemas.openxmlformats.org/officeDocument/2006/relationships/hyperlink" Target="mailto:=@sum(Y17:AD17)" TargetMode="External"/><Relationship Id="rId23" Type="http://schemas.openxmlformats.org/officeDocument/2006/relationships/hyperlink" Target="mailto:=@sum(P3:P5)" TargetMode="External"/><Relationship Id="rId28" Type="http://schemas.openxmlformats.org/officeDocument/2006/relationships/hyperlink" Target="mailto:=@sum(AH17:AH19)" TargetMode="External"/><Relationship Id="rId36" Type="http://schemas.openxmlformats.org/officeDocument/2006/relationships/hyperlink" Target="mailto:=@sum(P59:P61)" TargetMode="External"/><Relationship Id="rId49" Type="http://schemas.openxmlformats.org/officeDocument/2006/relationships/hyperlink" Target="mailto:=@sum(P17:P20)" TargetMode="External"/><Relationship Id="rId57" Type="http://schemas.openxmlformats.org/officeDocument/2006/relationships/hyperlink" Target="mailto:-@SUM(Y45:Y47)" TargetMode="External"/><Relationship Id="rId10" Type="http://schemas.openxmlformats.org/officeDocument/2006/relationships/hyperlink" Target="mailto:=@sum(AH18:AL18)" TargetMode="External"/><Relationship Id="rId31" Type="http://schemas.openxmlformats.org/officeDocument/2006/relationships/hyperlink" Target="mailto:=@sum(Y31:Y33)" TargetMode="External"/><Relationship Id="rId44" Type="http://schemas.openxmlformats.org/officeDocument/2006/relationships/hyperlink" Target="mailto:=@sum(Y3:Y5)" TargetMode="External"/><Relationship Id="rId52" Type="http://schemas.openxmlformats.org/officeDocument/2006/relationships/hyperlink" Target="mailto:=@sum(AH17:AH19)" TargetMode="External"/><Relationship Id="rId60" Type="http://schemas.openxmlformats.org/officeDocument/2006/relationships/hyperlink" Target="mailto:=@SUM(Y59:Y61)" TargetMode="External"/><Relationship Id="rId65" Type="http://schemas.openxmlformats.org/officeDocument/2006/relationships/hyperlink" Target="mailto:=@sum(AH73:AH76)" TargetMode="External"/><Relationship Id="rId4" Type="http://schemas.openxmlformats.org/officeDocument/2006/relationships/hyperlink" Target="mailto:=@sum(Y17:AD17)" TargetMode="External"/><Relationship Id="rId9" Type="http://schemas.openxmlformats.org/officeDocument/2006/relationships/hyperlink" Target="mailto:=@sum(P73:T73" TargetMode="External"/><Relationship Id="rId13" Type="http://schemas.openxmlformats.org/officeDocument/2006/relationships/hyperlink" Target="mailto:=@sum(Y17:AD17)" TargetMode="External"/><Relationship Id="rId18" Type="http://schemas.openxmlformats.org/officeDocument/2006/relationships/hyperlink" Target="mailto:=@SUM(Y4:AC4)" TargetMode="External"/><Relationship Id="rId39" Type="http://schemas.openxmlformats.org/officeDocument/2006/relationships/hyperlink" Target="mailto:=@sum(P73:P75)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mailto:=@sum(Y17:AD17)" TargetMode="External"/><Relationship Id="rId18" Type="http://schemas.openxmlformats.org/officeDocument/2006/relationships/hyperlink" Target="mailto:=@SUM(Y4:AC4)" TargetMode="External"/><Relationship Id="rId26" Type="http://schemas.openxmlformats.org/officeDocument/2006/relationships/hyperlink" Target="mailto:=@sum(P3:P5)" TargetMode="External"/><Relationship Id="rId39" Type="http://schemas.openxmlformats.org/officeDocument/2006/relationships/hyperlink" Target="mailto:=@sum(P3:P5)" TargetMode="External"/><Relationship Id="rId21" Type="http://schemas.openxmlformats.org/officeDocument/2006/relationships/hyperlink" Target="mailto:=@SUM(Y4:AC4)" TargetMode="External"/><Relationship Id="rId34" Type="http://schemas.openxmlformats.org/officeDocument/2006/relationships/hyperlink" Target="mailto:=@sum(P17:P20)" TargetMode="External"/><Relationship Id="rId42" Type="http://schemas.openxmlformats.org/officeDocument/2006/relationships/hyperlink" Target="mailto:=@sum(AH31:AH33)" TargetMode="External"/><Relationship Id="rId47" Type="http://schemas.openxmlformats.org/officeDocument/2006/relationships/hyperlink" Target="mailto:=@sum(AH45:AH47)" TargetMode="External"/><Relationship Id="rId50" Type="http://schemas.openxmlformats.org/officeDocument/2006/relationships/hyperlink" Target="mailto:=@sum(P59:P61)" TargetMode="External"/><Relationship Id="rId55" Type="http://schemas.openxmlformats.org/officeDocument/2006/relationships/hyperlink" Target="mailto:=@sum(Y73:Y75)" TargetMode="External"/><Relationship Id="rId7" Type="http://schemas.openxmlformats.org/officeDocument/2006/relationships/hyperlink" Target="mailto:=@sum(P45:T45)" TargetMode="External"/><Relationship Id="rId2" Type="http://schemas.openxmlformats.org/officeDocument/2006/relationships/hyperlink" Target="mailto:=@sum(AH3:AL3)" TargetMode="External"/><Relationship Id="rId16" Type="http://schemas.openxmlformats.org/officeDocument/2006/relationships/hyperlink" Target="mailto:=@sum(AH18:AL18)" TargetMode="External"/><Relationship Id="rId29" Type="http://schemas.openxmlformats.org/officeDocument/2006/relationships/hyperlink" Target="mailto:=@sum(P17:P20)" TargetMode="External"/><Relationship Id="rId11" Type="http://schemas.openxmlformats.org/officeDocument/2006/relationships/hyperlink" Target="mailto:=@sum(Y17:AD17)" TargetMode="External"/><Relationship Id="rId24" Type="http://schemas.openxmlformats.org/officeDocument/2006/relationships/hyperlink" Target="mailto:=@sum(P3:U3" TargetMode="External"/><Relationship Id="rId32" Type="http://schemas.openxmlformats.org/officeDocument/2006/relationships/hyperlink" Target="mailto:=@sum(AH3:AH5)" TargetMode="External"/><Relationship Id="rId37" Type="http://schemas.openxmlformats.org/officeDocument/2006/relationships/hyperlink" Target="mailto:=@sum(AH17:AH19)" TargetMode="External"/><Relationship Id="rId40" Type="http://schemas.openxmlformats.org/officeDocument/2006/relationships/hyperlink" Target="mailto:=@sum(Y31:Y33)" TargetMode="External"/><Relationship Id="rId45" Type="http://schemas.openxmlformats.org/officeDocument/2006/relationships/hyperlink" Target="mailto:=@sum(P45:P47)" TargetMode="External"/><Relationship Id="rId53" Type="http://schemas.openxmlformats.org/officeDocument/2006/relationships/hyperlink" Target="mailto:=@SUM(AH59:AH61)" TargetMode="External"/><Relationship Id="rId58" Type="http://schemas.openxmlformats.org/officeDocument/2006/relationships/hyperlink" Target="mailto:=@sum(P73:P75)" TargetMode="External"/><Relationship Id="rId5" Type="http://schemas.openxmlformats.org/officeDocument/2006/relationships/hyperlink" Target="mailto:=@sum(P3:U3" TargetMode="External"/><Relationship Id="rId19" Type="http://schemas.openxmlformats.org/officeDocument/2006/relationships/hyperlink" Target="mailto:=@sum(AH3:AL3)" TargetMode="External"/><Relationship Id="rId4" Type="http://schemas.openxmlformats.org/officeDocument/2006/relationships/hyperlink" Target="mailto:=@sum(Y17:AD17)" TargetMode="External"/><Relationship Id="rId9" Type="http://schemas.openxmlformats.org/officeDocument/2006/relationships/hyperlink" Target="mailto:=@sum(P73:T73" TargetMode="External"/><Relationship Id="rId14" Type="http://schemas.openxmlformats.org/officeDocument/2006/relationships/hyperlink" Target="mailto:=@sum(AH18:AL18)" TargetMode="External"/><Relationship Id="rId22" Type="http://schemas.openxmlformats.org/officeDocument/2006/relationships/hyperlink" Target="mailto:=@sum(AH18:AL18)" TargetMode="External"/><Relationship Id="rId27" Type="http://schemas.openxmlformats.org/officeDocument/2006/relationships/hyperlink" Target="mailto:-@SUM(Y45:Y47)" TargetMode="External"/><Relationship Id="rId30" Type="http://schemas.openxmlformats.org/officeDocument/2006/relationships/hyperlink" Target="mailto:=@sum(P3:P5)" TargetMode="External"/><Relationship Id="rId35" Type="http://schemas.openxmlformats.org/officeDocument/2006/relationships/hyperlink" Target="mailto:=@sum(Y17:Y19)" TargetMode="External"/><Relationship Id="rId43" Type="http://schemas.openxmlformats.org/officeDocument/2006/relationships/hyperlink" Target="mailto:=@sum(AH31:AH33)" TargetMode="External"/><Relationship Id="rId48" Type="http://schemas.openxmlformats.org/officeDocument/2006/relationships/hyperlink" Target="mailto:=@sum(AH45:AH47)" TargetMode="External"/><Relationship Id="rId56" Type="http://schemas.openxmlformats.org/officeDocument/2006/relationships/hyperlink" Target="mailto:=@sum(Y73:Y75)" TargetMode="External"/><Relationship Id="rId8" Type="http://schemas.openxmlformats.org/officeDocument/2006/relationships/hyperlink" Target="mailto:=@sum(P59:T59)" TargetMode="External"/><Relationship Id="rId51" Type="http://schemas.openxmlformats.org/officeDocument/2006/relationships/hyperlink" Target="mailto:=@sum(Y59:Y61)" TargetMode="External"/><Relationship Id="rId3" Type="http://schemas.openxmlformats.org/officeDocument/2006/relationships/hyperlink" Target="mailto:=@sum(AH3:AL8)" TargetMode="External"/><Relationship Id="rId12" Type="http://schemas.openxmlformats.org/officeDocument/2006/relationships/hyperlink" Target="mailto:=@sum(AH18:AL18)" TargetMode="External"/><Relationship Id="rId17" Type="http://schemas.openxmlformats.org/officeDocument/2006/relationships/hyperlink" Target="mailto:=@sum(Y17:AD17)" TargetMode="External"/><Relationship Id="rId25" Type="http://schemas.openxmlformats.org/officeDocument/2006/relationships/hyperlink" Target="mailto:=@sum(P3:U3" TargetMode="External"/><Relationship Id="rId33" Type="http://schemas.openxmlformats.org/officeDocument/2006/relationships/hyperlink" Target="mailto:=@sum(AH3:AH5)" TargetMode="External"/><Relationship Id="rId38" Type="http://schemas.openxmlformats.org/officeDocument/2006/relationships/hyperlink" Target="mailto:=@sum(AH17:AH19)" TargetMode="External"/><Relationship Id="rId46" Type="http://schemas.openxmlformats.org/officeDocument/2006/relationships/hyperlink" Target="mailto:-@SUM(Y45:Y47)" TargetMode="External"/><Relationship Id="rId59" Type="http://schemas.openxmlformats.org/officeDocument/2006/relationships/hyperlink" Target="mailto:=@sum(AH73:AH75)" TargetMode="External"/><Relationship Id="rId20" Type="http://schemas.openxmlformats.org/officeDocument/2006/relationships/hyperlink" Target="mailto:=@SUM(Y4:AC4)" TargetMode="External"/><Relationship Id="rId41" Type="http://schemas.openxmlformats.org/officeDocument/2006/relationships/hyperlink" Target="mailto:=@sum(Y31:Y33)" TargetMode="External"/><Relationship Id="rId54" Type="http://schemas.openxmlformats.org/officeDocument/2006/relationships/hyperlink" Target="mailto:=@SUM(AH59:AH61)" TargetMode="External"/><Relationship Id="rId1" Type="http://schemas.openxmlformats.org/officeDocument/2006/relationships/hyperlink" Target="mailto:=@sum(AH18:AL18)" TargetMode="External"/><Relationship Id="rId6" Type="http://schemas.openxmlformats.org/officeDocument/2006/relationships/hyperlink" Target="mailto:=@sum(P3:U3" TargetMode="External"/><Relationship Id="rId15" Type="http://schemas.openxmlformats.org/officeDocument/2006/relationships/hyperlink" Target="mailto:=@sum(Y17:AD17)" TargetMode="External"/><Relationship Id="rId23" Type="http://schemas.openxmlformats.org/officeDocument/2006/relationships/hyperlink" Target="mailto:=@sum(Y3:Y5)" TargetMode="External"/><Relationship Id="rId28" Type="http://schemas.openxmlformats.org/officeDocument/2006/relationships/hyperlink" Target="mailto:=@sum(P3:P5)" TargetMode="External"/><Relationship Id="rId36" Type="http://schemas.openxmlformats.org/officeDocument/2006/relationships/hyperlink" Target="mailto:=@sum(Y17:Y19)" TargetMode="External"/><Relationship Id="rId49" Type="http://schemas.openxmlformats.org/officeDocument/2006/relationships/hyperlink" Target="mailto:=@sum(P59:P61)" TargetMode="External"/><Relationship Id="rId57" Type="http://schemas.openxmlformats.org/officeDocument/2006/relationships/hyperlink" Target="mailto:=@sum(P73:P75)" TargetMode="External"/><Relationship Id="rId10" Type="http://schemas.openxmlformats.org/officeDocument/2006/relationships/hyperlink" Target="mailto:=@sum(AH18:AL18)" TargetMode="External"/><Relationship Id="rId31" Type="http://schemas.openxmlformats.org/officeDocument/2006/relationships/hyperlink" Target="mailto:=@sum(Y3:Y5)" TargetMode="External"/><Relationship Id="rId44" Type="http://schemas.openxmlformats.org/officeDocument/2006/relationships/hyperlink" Target="mailto:=@sum(P45:P47)" TargetMode="External"/><Relationship Id="rId52" Type="http://schemas.openxmlformats.org/officeDocument/2006/relationships/hyperlink" Target="mailto:=@sum(Y59:Y61)" TargetMode="External"/><Relationship Id="rId60" Type="http://schemas.openxmlformats.org/officeDocument/2006/relationships/hyperlink" Target="mailto:=@sum(AH73:AH75)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www.g2.com/products/ibm-spss-statistics/competitors/alternatives" TargetMode="External"/><Relationship Id="rId1" Type="http://schemas.openxmlformats.org/officeDocument/2006/relationships/hyperlink" Target="https://www.youtube.com/watch?v=FQeVy3h7tIg&amp;list=UULFfFpm86b7phy8cgPTUdaK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workbookViewId="0">
      <selection activeCell="A7" sqref="A7"/>
    </sheetView>
  </sheetViews>
  <sheetFormatPr defaultRowHeight="14.4" x14ac:dyDescent="0.3"/>
  <cols>
    <col min="1" max="1" width="18.88671875" customWidth="1"/>
    <col min="2" max="2" width="118.88671875" customWidth="1"/>
    <col min="3" max="3" width="74.44140625" customWidth="1"/>
  </cols>
  <sheetData>
    <row r="1" spans="1:3" x14ac:dyDescent="0.3">
      <c r="A1" s="2" t="s">
        <v>1</v>
      </c>
      <c r="B1" s="2" t="s">
        <v>0</v>
      </c>
      <c r="C1" s="2" t="s">
        <v>2</v>
      </c>
    </row>
    <row r="2" spans="1:3" x14ac:dyDescent="0.3">
      <c r="A2" t="s">
        <v>3</v>
      </c>
      <c r="B2" t="s">
        <v>3</v>
      </c>
      <c r="C2" t="s">
        <v>89</v>
      </c>
    </row>
    <row r="3" spans="1:3" x14ac:dyDescent="0.3">
      <c r="A3" t="s">
        <v>4</v>
      </c>
      <c r="B3" t="s">
        <v>4</v>
      </c>
      <c r="C3" t="s">
        <v>84</v>
      </c>
    </row>
    <row r="4" spans="1:3" x14ac:dyDescent="0.3">
      <c r="A4" t="s">
        <v>5</v>
      </c>
      <c r="B4" t="s">
        <v>5</v>
      </c>
      <c r="C4" t="s">
        <v>85</v>
      </c>
    </row>
    <row r="5" spans="1:3" x14ac:dyDescent="0.3">
      <c r="A5" t="s">
        <v>6</v>
      </c>
      <c r="B5" t="s">
        <v>6</v>
      </c>
      <c r="C5" t="s">
        <v>88</v>
      </c>
    </row>
    <row r="6" spans="1:3" x14ac:dyDescent="0.3">
      <c r="A6" t="s">
        <v>7</v>
      </c>
      <c r="B6" t="s">
        <v>7</v>
      </c>
      <c r="C6" t="s">
        <v>87</v>
      </c>
    </row>
    <row r="7" spans="1:3" x14ac:dyDescent="0.3">
      <c r="A7" t="s">
        <v>8</v>
      </c>
      <c r="B7" t="s">
        <v>99</v>
      </c>
      <c r="C7" t="s">
        <v>86</v>
      </c>
    </row>
    <row r="8" spans="1:3" s="4" customFormat="1" x14ac:dyDescent="0.3">
      <c r="A8" s="4" t="s">
        <v>9</v>
      </c>
      <c r="B8" s="4" t="s">
        <v>135</v>
      </c>
      <c r="C8" s="4" t="s">
        <v>83</v>
      </c>
    </row>
    <row r="9" spans="1:3" x14ac:dyDescent="0.3">
      <c r="A9" t="s">
        <v>10</v>
      </c>
      <c r="B9" t="s">
        <v>93</v>
      </c>
      <c r="C9" t="s">
        <v>83</v>
      </c>
    </row>
    <row r="10" spans="1:3" x14ac:dyDescent="0.3">
      <c r="A10" t="s">
        <v>11</v>
      </c>
      <c r="B10" t="s">
        <v>92</v>
      </c>
      <c r="C10" t="s">
        <v>83</v>
      </c>
    </row>
    <row r="11" spans="1:3" x14ac:dyDescent="0.3">
      <c r="A11" t="s">
        <v>12</v>
      </c>
      <c r="B11" t="s">
        <v>94</v>
      </c>
      <c r="C11" t="s">
        <v>83</v>
      </c>
    </row>
    <row r="12" spans="1:3" x14ac:dyDescent="0.3">
      <c r="A12" t="s">
        <v>13</v>
      </c>
      <c r="B12" t="s">
        <v>95</v>
      </c>
      <c r="C12" t="s">
        <v>83</v>
      </c>
    </row>
    <row r="13" spans="1:3" s="3" customFormat="1" x14ac:dyDescent="0.3">
      <c r="A13" s="3" t="s">
        <v>14</v>
      </c>
      <c r="B13" s="3" t="s">
        <v>161</v>
      </c>
      <c r="C13" s="3" t="s">
        <v>83</v>
      </c>
    </row>
    <row r="14" spans="1:3" s="2" customFormat="1" x14ac:dyDescent="0.3">
      <c r="A14" s="2" t="s">
        <v>15</v>
      </c>
      <c r="B14" s="2" t="s">
        <v>49</v>
      </c>
      <c r="C14" s="2" t="s">
        <v>83</v>
      </c>
    </row>
    <row r="15" spans="1:3" x14ac:dyDescent="0.3">
      <c r="A15" t="s">
        <v>16</v>
      </c>
      <c r="B15" t="s">
        <v>50</v>
      </c>
      <c r="C15" t="s">
        <v>83</v>
      </c>
    </row>
    <row r="16" spans="1:3" x14ac:dyDescent="0.3">
      <c r="A16" t="s">
        <v>17</v>
      </c>
      <c r="B16" t="s">
        <v>51</v>
      </c>
      <c r="C16" t="s">
        <v>83</v>
      </c>
    </row>
    <row r="17" spans="1:3" x14ac:dyDescent="0.3">
      <c r="A17" t="s">
        <v>18</v>
      </c>
      <c r="B17" t="s">
        <v>52</v>
      </c>
      <c r="C17" t="s">
        <v>83</v>
      </c>
    </row>
    <row r="18" spans="1:3" x14ac:dyDescent="0.3">
      <c r="A18" t="s">
        <v>19</v>
      </c>
      <c r="B18" t="s">
        <v>53</v>
      </c>
      <c r="C18" t="s">
        <v>83</v>
      </c>
    </row>
    <row r="19" spans="1:3" x14ac:dyDescent="0.3">
      <c r="A19" t="s">
        <v>20</v>
      </c>
      <c r="B19" t="s">
        <v>54</v>
      </c>
      <c r="C19" t="s">
        <v>83</v>
      </c>
    </row>
    <row r="20" spans="1:3" s="5" customFormat="1" x14ac:dyDescent="0.3">
      <c r="A20" s="5" t="s">
        <v>21</v>
      </c>
      <c r="B20" s="5" t="s">
        <v>55</v>
      </c>
      <c r="C20" s="5" t="s">
        <v>83</v>
      </c>
    </row>
    <row r="21" spans="1:3" x14ac:dyDescent="0.3">
      <c r="A21" t="s">
        <v>22</v>
      </c>
      <c r="B21" t="s">
        <v>56</v>
      </c>
      <c r="C21" t="s">
        <v>83</v>
      </c>
    </row>
    <row r="22" spans="1:3" x14ac:dyDescent="0.3">
      <c r="A22" t="s">
        <v>23</v>
      </c>
      <c r="B22" t="s">
        <v>57</v>
      </c>
      <c r="C22" t="s">
        <v>83</v>
      </c>
    </row>
    <row r="23" spans="1:3" x14ac:dyDescent="0.3">
      <c r="A23" t="s">
        <v>24</v>
      </c>
      <c r="B23" t="s">
        <v>58</v>
      </c>
      <c r="C23" t="s">
        <v>83</v>
      </c>
    </row>
    <row r="24" spans="1:3" x14ac:dyDescent="0.3">
      <c r="A24" t="s">
        <v>25</v>
      </c>
      <c r="B24" t="s">
        <v>59</v>
      </c>
      <c r="C24" t="s">
        <v>83</v>
      </c>
    </row>
    <row r="25" spans="1:3" x14ac:dyDescent="0.3">
      <c r="A25" t="s">
        <v>26</v>
      </c>
      <c r="B25" t="s">
        <v>60</v>
      </c>
      <c r="C25" t="s">
        <v>83</v>
      </c>
    </row>
    <row r="26" spans="1:3" x14ac:dyDescent="0.3">
      <c r="A26" t="s">
        <v>27</v>
      </c>
      <c r="B26" t="s">
        <v>61</v>
      </c>
      <c r="C26" t="s">
        <v>83</v>
      </c>
    </row>
    <row r="27" spans="1:3" s="3" customFormat="1" x14ac:dyDescent="0.3">
      <c r="A27" s="3" t="s">
        <v>28</v>
      </c>
      <c r="B27" s="3" t="s">
        <v>62</v>
      </c>
      <c r="C27" s="3" t="s">
        <v>83</v>
      </c>
    </row>
    <row r="28" spans="1:3" s="6" customFormat="1" x14ac:dyDescent="0.3">
      <c r="A28" s="6" t="s">
        <v>29</v>
      </c>
      <c r="B28" s="6" t="s">
        <v>63</v>
      </c>
      <c r="C28" s="6" t="s">
        <v>83</v>
      </c>
    </row>
    <row r="29" spans="1:3" x14ac:dyDescent="0.3">
      <c r="A29" t="s">
        <v>30</v>
      </c>
      <c r="B29" t="s">
        <v>64</v>
      </c>
      <c r="C29" t="s">
        <v>83</v>
      </c>
    </row>
    <row r="30" spans="1:3" x14ac:dyDescent="0.3">
      <c r="A30" t="s">
        <v>31</v>
      </c>
      <c r="B30" t="s">
        <v>65</v>
      </c>
      <c r="C30" t="s">
        <v>83</v>
      </c>
    </row>
    <row r="31" spans="1:3" x14ac:dyDescent="0.3">
      <c r="A31" t="s">
        <v>32</v>
      </c>
      <c r="B31" t="s">
        <v>66</v>
      </c>
      <c r="C31" t="s">
        <v>83</v>
      </c>
    </row>
    <row r="32" spans="1:3" x14ac:dyDescent="0.3">
      <c r="A32" t="s">
        <v>33</v>
      </c>
      <c r="B32" t="s">
        <v>67</v>
      </c>
      <c r="C32" t="s">
        <v>83</v>
      </c>
    </row>
    <row r="33" spans="1:3" x14ac:dyDescent="0.3">
      <c r="A33" t="s">
        <v>34</v>
      </c>
      <c r="B33" t="s">
        <v>68</v>
      </c>
      <c r="C33" t="s">
        <v>83</v>
      </c>
    </row>
    <row r="34" spans="1:3" s="7" customFormat="1" x14ac:dyDescent="0.3">
      <c r="A34" s="7" t="s">
        <v>35</v>
      </c>
      <c r="B34" s="7" t="s">
        <v>69</v>
      </c>
      <c r="C34" s="7" t="s">
        <v>83</v>
      </c>
    </row>
    <row r="35" spans="1:3" x14ac:dyDescent="0.3">
      <c r="A35" t="s">
        <v>36</v>
      </c>
      <c r="B35" t="s">
        <v>70</v>
      </c>
      <c r="C35" t="s">
        <v>83</v>
      </c>
    </row>
    <row r="36" spans="1:3" x14ac:dyDescent="0.3">
      <c r="A36" t="s">
        <v>37</v>
      </c>
      <c r="B36" t="s">
        <v>71</v>
      </c>
      <c r="C36" t="s">
        <v>83</v>
      </c>
    </row>
    <row r="37" spans="1:3" x14ac:dyDescent="0.3">
      <c r="A37" t="s">
        <v>38</v>
      </c>
      <c r="B37" t="s">
        <v>72</v>
      </c>
      <c r="C37" t="s">
        <v>83</v>
      </c>
    </row>
    <row r="38" spans="1:3" x14ac:dyDescent="0.3">
      <c r="A38" t="s">
        <v>39</v>
      </c>
      <c r="B38" t="s">
        <v>73</v>
      </c>
      <c r="C38" t="s">
        <v>83</v>
      </c>
    </row>
    <row r="39" spans="1:3" x14ac:dyDescent="0.3">
      <c r="A39" t="s">
        <v>40</v>
      </c>
      <c r="B39" t="s">
        <v>74</v>
      </c>
      <c r="C39" t="s">
        <v>83</v>
      </c>
    </row>
    <row r="40" spans="1:3" x14ac:dyDescent="0.3">
      <c r="A40" t="s">
        <v>41</v>
      </c>
      <c r="B40" t="s">
        <v>75</v>
      </c>
      <c r="C40" t="s">
        <v>83</v>
      </c>
    </row>
    <row r="41" spans="1:3" x14ac:dyDescent="0.3">
      <c r="A41" t="s">
        <v>42</v>
      </c>
      <c r="B41" t="s">
        <v>76</v>
      </c>
      <c r="C41" t="s">
        <v>83</v>
      </c>
    </row>
    <row r="42" spans="1:3" s="8" customFormat="1" ht="15.6" x14ac:dyDescent="0.3">
      <c r="A42" s="99" t="s">
        <v>43</v>
      </c>
      <c r="B42" s="99" t="s">
        <v>77</v>
      </c>
      <c r="C42" s="8" t="s">
        <v>83</v>
      </c>
    </row>
    <row r="43" spans="1:3" x14ac:dyDescent="0.3">
      <c r="A43" t="s">
        <v>44</v>
      </c>
      <c r="B43" t="s">
        <v>78</v>
      </c>
      <c r="C43" t="s">
        <v>83</v>
      </c>
    </row>
    <row r="44" spans="1:3" x14ac:dyDescent="0.3">
      <c r="A44" t="s">
        <v>45</v>
      </c>
      <c r="B44" t="s">
        <v>79</v>
      </c>
      <c r="C44" t="s">
        <v>83</v>
      </c>
    </row>
    <row r="45" spans="1:3" x14ac:dyDescent="0.3">
      <c r="A45" t="s">
        <v>46</v>
      </c>
      <c r="B45" t="s">
        <v>80</v>
      </c>
      <c r="C45" t="s">
        <v>83</v>
      </c>
    </row>
    <row r="46" spans="1:3" x14ac:dyDescent="0.3">
      <c r="A46" t="s">
        <v>47</v>
      </c>
      <c r="B46" t="s">
        <v>81</v>
      </c>
      <c r="C46" t="s">
        <v>83</v>
      </c>
    </row>
    <row r="47" spans="1:3" x14ac:dyDescent="0.3">
      <c r="A47" t="s">
        <v>48</v>
      </c>
      <c r="B47" t="s">
        <v>82</v>
      </c>
      <c r="C47" t="s">
        <v>83</v>
      </c>
    </row>
    <row r="50" spans="2:2" ht="15" thickBot="1" x14ac:dyDescent="0.35"/>
    <row r="51" spans="2:2" ht="18.600000000000001" thickBot="1" x14ac:dyDescent="0.4">
      <c r="B51" s="89" t="s">
        <v>90</v>
      </c>
    </row>
    <row r="52" spans="2:2" ht="18" x14ac:dyDescent="0.3">
      <c r="B52" s="90" t="s">
        <v>91</v>
      </c>
    </row>
    <row r="53" spans="2:2" ht="18" x14ac:dyDescent="0.3">
      <c r="B53" s="91" t="s">
        <v>423</v>
      </c>
    </row>
    <row r="54" spans="2:2" ht="18" x14ac:dyDescent="0.3">
      <c r="B54" s="91" t="s">
        <v>424</v>
      </c>
    </row>
    <row r="55" spans="2:2" ht="18" x14ac:dyDescent="0.3">
      <c r="B55" s="91" t="s">
        <v>425</v>
      </c>
    </row>
    <row r="56" spans="2:2" ht="18" x14ac:dyDescent="0.3">
      <c r="B56" s="91" t="s">
        <v>426</v>
      </c>
    </row>
    <row r="57" spans="2:2" ht="18.600000000000001" thickBot="1" x14ac:dyDescent="0.35">
      <c r="B57" s="92" t="s">
        <v>427</v>
      </c>
    </row>
    <row r="58" spans="2:2" ht="17.399999999999999" x14ac:dyDescent="0.3">
      <c r="B58" s="93"/>
    </row>
    <row r="59" spans="2:2" ht="17.399999999999999" x14ac:dyDescent="0.3">
      <c r="B59" s="93"/>
    </row>
    <row r="60" spans="2:2" ht="18" x14ac:dyDescent="0.35">
      <c r="B60" s="83"/>
    </row>
    <row r="61" spans="2:2" ht="18" x14ac:dyDescent="0.35">
      <c r="B61" s="94" t="s">
        <v>428</v>
      </c>
    </row>
    <row r="62" spans="2:2" ht="18" x14ac:dyDescent="0.35">
      <c r="B62" s="94" t="s">
        <v>97</v>
      </c>
    </row>
    <row r="63" spans="2:2" ht="18" x14ac:dyDescent="0.35">
      <c r="B63" s="94" t="s">
        <v>429</v>
      </c>
    </row>
    <row r="64" spans="2:2" ht="18" x14ac:dyDescent="0.35">
      <c r="B64" s="95" t="s">
        <v>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37"/>
  <sheetViews>
    <sheetView zoomScale="89" zoomScaleNormal="89" workbookViewId="0">
      <selection activeCell="J2" sqref="J2"/>
    </sheetView>
  </sheetViews>
  <sheetFormatPr defaultRowHeight="14.4" x14ac:dyDescent="0.3"/>
  <cols>
    <col min="1" max="1" width="4.88671875" customWidth="1"/>
    <col min="2" max="2" width="7.5546875" customWidth="1"/>
    <col min="3" max="3" width="8.33203125" customWidth="1"/>
    <col min="4" max="4" width="10.88671875" bestFit="1" customWidth="1"/>
    <col min="5" max="5" width="9.6640625" bestFit="1" customWidth="1"/>
    <col min="6" max="6" width="5.6640625" customWidth="1"/>
    <col min="7" max="12" width="12.33203125" customWidth="1"/>
    <col min="13" max="17" width="16.44140625" customWidth="1"/>
    <col min="18" max="18" width="16.44140625" bestFit="1" customWidth="1"/>
    <col min="19" max="22" width="15.88671875" bestFit="1" customWidth="1"/>
    <col min="23" max="23" width="15.88671875" customWidth="1"/>
    <col min="24" max="26" width="15.88671875" bestFit="1" customWidth="1"/>
    <col min="27" max="32" width="12.109375" bestFit="1" customWidth="1"/>
    <col min="33" max="40" width="10.109375" bestFit="1" customWidth="1"/>
    <col min="41" max="46" width="12.5546875" bestFit="1" customWidth="1"/>
  </cols>
  <sheetData>
    <row r="1" spans="1:46" x14ac:dyDescent="0.3">
      <c r="A1" t="s">
        <v>96</v>
      </c>
      <c r="B1" t="s">
        <v>4</v>
      </c>
      <c r="C1" t="s">
        <v>5</v>
      </c>
      <c r="D1" t="s">
        <v>6</v>
      </c>
      <c r="E1" t="s">
        <v>7</v>
      </c>
      <c r="F1" t="s">
        <v>134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  <c r="AM1" t="s">
        <v>126</v>
      </c>
      <c r="AN1" t="s">
        <v>127</v>
      </c>
      <c r="AO1" t="s">
        <v>128</v>
      </c>
      <c r="AP1" t="s">
        <v>129</v>
      </c>
      <c r="AQ1" t="s">
        <v>130</v>
      </c>
      <c r="AR1" t="s">
        <v>131</v>
      </c>
      <c r="AS1" t="s">
        <v>132</v>
      </c>
      <c r="AT1" t="s">
        <v>133</v>
      </c>
    </row>
    <row r="2" spans="1:46" x14ac:dyDescent="0.3">
      <c r="A2">
        <v>3</v>
      </c>
      <c r="B2">
        <v>2</v>
      </c>
      <c r="C2">
        <v>2</v>
      </c>
      <c r="D2">
        <v>2</v>
      </c>
      <c r="E2">
        <v>2</v>
      </c>
      <c r="F2">
        <v>3</v>
      </c>
      <c r="G2">
        <v>3</v>
      </c>
      <c r="H2">
        <v>5</v>
      </c>
      <c r="I2">
        <v>4</v>
      </c>
      <c r="J2">
        <v>3</v>
      </c>
      <c r="K2">
        <v>4</v>
      </c>
      <c r="L2">
        <v>2</v>
      </c>
      <c r="M2">
        <v>3</v>
      </c>
      <c r="N2">
        <v>4</v>
      </c>
      <c r="O2">
        <v>3</v>
      </c>
      <c r="P2">
        <v>5</v>
      </c>
      <c r="Q2">
        <v>4</v>
      </c>
      <c r="R2">
        <v>5</v>
      </c>
      <c r="S2">
        <v>4</v>
      </c>
      <c r="T2">
        <v>4</v>
      </c>
      <c r="U2">
        <v>3</v>
      </c>
      <c r="V2">
        <v>2</v>
      </c>
      <c r="W2">
        <v>4</v>
      </c>
      <c r="X2">
        <v>4</v>
      </c>
      <c r="Y2">
        <v>4</v>
      </c>
      <c r="Z2">
        <v>4</v>
      </c>
      <c r="AA2">
        <v>4</v>
      </c>
      <c r="AB2">
        <v>2</v>
      </c>
      <c r="AC2">
        <v>4</v>
      </c>
      <c r="AD2">
        <v>3</v>
      </c>
      <c r="AE2">
        <v>3</v>
      </c>
      <c r="AF2">
        <v>3</v>
      </c>
      <c r="AG2">
        <v>2</v>
      </c>
      <c r="AH2">
        <v>5</v>
      </c>
      <c r="AI2">
        <v>5</v>
      </c>
      <c r="AJ2">
        <v>4</v>
      </c>
      <c r="AK2">
        <v>5</v>
      </c>
      <c r="AL2">
        <v>2</v>
      </c>
      <c r="AM2">
        <v>4</v>
      </c>
      <c r="AN2">
        <v>4</v>
      </c>
      <c r="AO2">
        <v>3</v>
      </c>
      <c r="AP2">
        <v>4</v>
      </c>
      <c r="AQ2">
        <v>4</v>
      </c>
      <c r="AR2">
        <v>3</v>
      </c>
      <c r="AS2">
        <v>5</v>
      </c>
      <c r="AT2">
        <v>5</v>
      </c>
    </row>
    <row r="3" spans="1:46" x14ac:dyDescent="0.3">
      <c r="A3">
        <v>5</v>
      </c>
      <c r="B3">
        <v>2</v>
      </c>
      <c r="C3">
        <v>3</v>
      </c>
      <c r="D3">
        <v>5</v>
      </c>
      <c r="E3">
        <v>4</v>
      </c>
      <c r="F3">
        <v>2</v>
      </c>
      <c r="G3">
        <v>3</v>
      </c>
      <c r="H3">
        <v>5</v>
      </c>
      <c r="I3">
        <v>4</v>
      </c>
      <c r="J3">
        <v>3</v>
      </c>
      <c r="K3">
        <v>4</v>
      </c>
      <c r="L3">
        <v>3</v>
      </c>
      <c r="M3">
        <v>4</v>
      </c>
      <c r="N3">
        <v>5</v>
      </c>
      <c r="O3">
        <v>4</v>
      </c>
      <c r="P3">
        <v>4</v>
      </c>
      <c r="Q3">
        <v>3</v>
      </c>
      <c r="R3">
        <v>4</v>
      </c>
      <c r="S3">
        <v>4</v>
      </c>
      <c r="T3">
        <v>4</v>
      </c>
      <c r="U3">
        <v>5</v>
      </c>
      <c r="V3">
        <v>4</v>
      </c>
      <c r="W3">
        <v>4</v>
      </c>
      <c r="X3">
        <v>5</v>
      </c>
      <c r="Y3">
        <v>5</v>
      </c>
      <c r="Z3">
        <v>4</v>
      </c>
      <c r="AA3">
        <v>4</v>
      </c>
      <c r="AB3">
        <v>3</v>
      </c>
      <c r="AC3">
        <v>4</v>
      </c>
      <c r="AD3">
        <v>4</v>
      </c>
      <c r="AE3">
        <v>3</v>
      </c>
      <c r="AF3">
        <v>3</v>
      </c>
      <c r="AG3">
        <v>2</v>
      </c>
      <c r="AH3">
        <v>3</v>
      </c>
      <c r="AI3">
        <v>5</v>
      </c>
      <c r="AJ3">
        <v>4</v>
      </c>
      <c r="AK3">
        <v>5</v>
      </c>
      <c r="AL3">
        <v>3</v>
      </c>
      <c r="AM3">
        <v>4</v>
      </c>
      <c r="AN3">
        <v>5</v>
      </c>
      <c r="AO3">
        <v>2</v>
      </c>
      <c r="AP3">
        <v>5</v>
      </c>
      <c r="AQ3">
        <v>4</v>
      </c>
      <c r="AR3">
        <v>3</v>
      </c>
      <c r="AS3">
        <v>4</v>
      </c>
      <c r="AT3">
        <v>4</v>
      </c>
    </row>
    <row r="4" spans="1:46" x14ac:dyDescent="0.3">
      <c r="A4">
        <v>3</v>
      </c>
      <c r="B4">
        <v>2</v>
      </c>
      <c r="C4">
        <v>2</v>
      </c>
      <c r="D4">
        <v>3</v>
      </c>
      <c r="E4">
        <v>2</v>
      </c>
      <c r="F4">
        <v>2</v>
      </c>
      <c r="G4">
        <v>2</v>
      </c>
      <c r="H4">
        <v>3</v>
      </c>
      <c r="I4">
        <v>4</v>
      </c>
      <c r="J4">
        <v>3</v>
      </c>
      <c r="K4">
        <v>4</v>
      </c>
      <c r="L4">
        <v>2</v>
      </c>
      <c r="M4">
        <v>4</v>
      </c>
      <c r="N4">
        <v>4</v>
      </c>
      <c r="O4">
        <v>4</v>
      </c>
      <c r="P4">
        <v>4</v>
      </c>
      <c r="Q4">
        <v>4</v>
      </c>
      <c r="R4">
        <v>5</v>
      </c>
      <c r="S4">
        <v>4</v>
      </c>
      <c r="T4">
        <v>4</v>
      </c>
      <c r="U4">
        <v>4</v>
      </c>
      <c r="V4">
        <v>4</v>
      </c>
      <c r="W4">
        <v>4</v>
      </c>
      <c r="X4">
        <v>5</v>
      </c>
      <c r="Y4">
        <v>5</v>
      </c>
      <c r="Z4">
        <v>4</v>
      </c>
      <c r="AA4">
        <v>5</v>
      </c>
      <c r="AB4">
        <v>3</v>
      </c>
      <c r="AC4">
        <v>3</v>
      </c>
      <c r="AD4">
        <v>4</v>
      </c>
      <c r="AE4">
        <v>3</v>
      </c>
      <c r="AF4">
        <v>3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5</v>
      </c>
      <c r="AO4">
        <v>5</v>
      </c>
      <c r="AP4">
        <v>5</v>
      </c>
      <c r="AQ4">
        <v>4</v>
      </c>
      <c r="AR4">
        <v>4</v>
      </c>
      <c r="AS4">
        <v>5</v>
      </c>
      <c r="AT4">
        <v>4</v>
      </c>
    </row>
    <row r="5" spans="1:46" x14ac:dyDescent="0.3">
      <c r="A5">
        <v>5</v>
      </c>
      <c r="B5">
        <v>2</v>
      </c>
      <c r="C5">
        <v>3</v>
      </c>
      <c r="D5">
        <v>5</v>
      </c>
      <c r="E5">
        <v>4</v>
      </c>
      <c r="F5">
        <v>2</v>
      </c>
      <c r="G5">
        <v>3</v>
      </c>
      <c r="H5">
        <v>3</v>
      </c>
      <c r="I5">
        <v>5</v>
      </c>
      <c r="J5">
        <v>3</v>
      </c>
      <c r="K5">
        <v>3</v>
      </c>
      <c r="L5">
        <v>3</v>
      </c>
      <c r="M5">
        <v>5</v>
      </c>
      <c r="N5">
        <v>5</v>
      </c>
      <c r="O5">
        <v>5</v>
      </c>
      <c r="P5">
        <v>5</v>
      </c>
      <c r="Q5">
        <v>4</v>
      </c>
      <c r="R5">
        <v>5</v>
      </c>
      <c r="S5">
        <v>3</v>
      </c>
      <c r="T5">
        <v>5</v>
      </c>
      <c r="U5">
        <v>4</v>
      </c>
      <c r="V5">
        <v>2</v>
      </c>
      <c r="W5">
        <v>4</v>
      </c>
      <c r="X5">
        <v>5</v>
      </c>
      <c r="Y5">
        <v>3</v>
      </c>
      <c r="Z5">
        <v>4</v>
      </c>
      <c r="AA5">
        <v>4</v>
      </c>
      <c r="AB5">
        <v>2</v>
      </c>
      <c r="AC5">
        <v>3</v>
      </c>
      <c r="AD5">
        <v>4</v>
      </c>
      <c r="AE5">
        <v>3</v>
      </c>
      <c r="AF5">
        <v>3</v>
      </c>
      <c r="AG5">
        <v>1</v>
      </c>
      <c r="AH5">
        <v>2</v>
      </c>
      <c r="AI5">
        <v>5</v>
      </c>
      <c r="AJ5">
        <v>5</v>
      </c>
      <c r="AK5">
        <v>5</v>
      </c>
      <c r="AL5">
        <v>4</v>
      </c>
      <c r="AM5">
        <v>4</v>
      </c>
      <c r="AN5">
        <v>3</v>
      </c>
      <c r="AO5">
        <v>2</v>
      </c>
      <c r="AP5">
        <v>4</v>
      </c>
      <c r="AQ5">
        <v>5</v>
      </c>
      <c r="AR5">
        <v>3</v>
      </c>
      <c r="AS5">
        <v>5</v>
      </c>
      <c r="AT5">
        <v>5</v>
      </c>
    </row>
    <row r="6" spans="1:46" x14ac:dyDescent="0.3">
      <c r="A6">
        <v>5</v>
      </c>
      <c r="B6">
        <v>2</v>
      </c>
      <c r="C6">
        <v>3</v>
      </c>
      <c r="D6">
        <v>5</v>
      </c>
      <c r="E6">
        <v>4</v>
      </c>
      <c r="F6">
        <v>1</v>
      </c>
      <c r="G6">
        <v>3</v>
      </c>
      <c r="H6">
        <v>4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4</v>
      </c>
      <c r="P6">
        <v>3</v>
      </c>
      <c r="Q6">
        <v>3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3</v>
      </c>
      <c r="Y6">
        <v>3</v>
      </c>
      <c r="Z6">
        <v>4</v>
      </c>
      <c r="AA6">
        <v>3</v>
      </c>
      <c r="AB6">
        <v>3</v>
      </c>
      <c r="AC6">
        <v>4</v>
      </c>
      <c r="AD6">
        <v>4</v>
      </c>
      <c r="AE6">
        <v>4</v>
      </c>
      <c r="AF6">
        <v>4</v>
      </c>
      <c r="AG6">
        <v>2</v>
      </c>
      <c r="AH6">
        <v>3</v>
      </c>
      <c r="AI6">
        <v>3</v>
      </c>
      <c r="AJ6">
        <v>4</v>
      </c>
      <c r="AK6">
        <v>3</v>
      </c>
      <c r="AL6">
        <v>4</v>
      </c>
      <c r="AM6">
        <v>4</v>
      </c>
      <c r="AN6">
        <v>4</v>
      </c>
      <c r="AO6">
        <v>3</v>
      </c>
      <c r="AP6">
        <v>3</v>
      </c>
      <c r="AQ6">
        <v>4</v>
      </c>
      <c r="AR6">
        <v>3</v>
      </c>
      <c r="AS6">
        <v>3</v>
      </c>
      <c r="AT6">
        <v>4</v>
      </c>
    </row>
    <row r="7" spans="1:46" x14ac:dyDescent="0.3">
      <c r="A7">
        <v>3</v>
      </c>
      <c r="B7">
        <v>2</v>
      </c>
      <c r="C7">
        <v>2</v>
      </c>
      <c r="D7">
        <v>2</v>
      </c>
      <c r="E7">
        <v>2</v>
      </c>
      <c r="F7">
        <v>2</v>
      </c>
      <c r="G7">
        <v>3</v>
      </c>
      <c r="H7">
        <v>4</v>
      </c>
      <c r="I7">
        <v>5</v>
      </c>
      <c r="J7">
        <v>5</v>
      </c>
      <c r="K7">
        <v>2</v>
      </c>
      <c r="L7">
        <v>3</v>
      </c>
      <c r="M7">
        <v>4</v>
      </c>
      <c r="N7">
        <v>4</v>
      </c>
      <c r="O7">
        <v>4</v>
      </c>
      <c r="P7">
        <v>4</v>
      </c>
      <c r="Q7">
        <v>5</v>
      </c>
      <c r="R7">
        <v>5</v>
      </c>
      <c r="S7">
        <v>5</v>
      </c>
      <c r="T7">
        <v>5</v>
      </c>
      <c r="U7">
        <v>4</v>
      </c>
      <c r="V7">
        <v>4</v>
      </c>
      <c r="W7">
        <v>4</v>
      </c>
      <c r="X7">
        <v>5</v>
      </c>
      <c r="Y7">
        <v>5</v>
      </c>
      <c r="Z7">
        <v>4</v>
      </c>
      <c r="AA7">
        <v>4</v>
      </c>
      <c r="AB7">
        <v>2</v>
      </c>
      <c r="AC7">
        <v>2</v>
      </c>
      <c r="AD7">
        <v>2</v>
      </c>
      <c r="AE7">
        <v>2</v>
      </c>
      <c r="AF7">
        <v>4</v>
      </c>
      <c r="AG7">
        <v>2</v>
      </c>
      <c r="AH7">
        <v>4</v>
      </c>
      <c r="AI7">
        <v>3</v>
      </c>
      <c r="AJ7">
        <v>4</v>
      </c>
      <c r="AK7">
        <v>3</v>
      </c>
      <c r="AL7">
        <v>4</v>
      </c>
      <c r="AM7">
        <v>4</v>
      </c>
      <c r="AN7">
        <v>4</v>
      </c>
      <c r="AO7">
        <v>2</v>
      </c>
      <c r="AP7">
        <v>4</v>
      </c>
      <c r="AQ7">
        <v>4</v>
      </c>
      <c r="AR7">
        <v>4</v>
      </c>
      <c r="AS7">
        <v>4</v>
      </c>
      <c r="AT7">
        <v>4</v>
      </c>
    </row>
    <row r="8" spans="1:46" x14ac:dyDescent="0.3">
      <c r="A8">
        <v>5</v>
      </c>
      <c r="B8">
        <v>2</v>
      </c>
      <c r="C8">
        <v>2</v>
      </c>
      <c r="D8">
        <v>5</v>
      </c>
      <c r="E8">
        <v>2</v>
      </c>
      <c r="F8">
        <v>2</v>
      </c>
      <c r="G8">
        <v>4</v>
      </c>
      <c r="H8">
        <v>4</v>
      </c>
      <c r="I8">
        <v>5</v>
      </c>
      <c r="J8">
        <v>4</v>
      </c>
      <c r="K8">
        <v>4</v>
      </c>
      <c r="L8">
        <v>5</v>
      </c>
      <c r="M8">
        <v>4</v>
      </c>
      <c r="N8">
        <v>4</v>
      </c>
      <c r="O8">
        <v>5</v>
      </c>
      <c r="P8">
        <v>4</v>
      </c>
      <c r="Q8">
        <v>4</v>
      </c>
      <c r="R8">
        <v>4</v>
      </c>
      <c r="S8">
        <v>5</v>
      </c>
      <c r="T8">
        <v>4</v>
      </c>
      <c r="U8">
        <v>5</v>
      </c>
      <c r="V8">
        <v>2</v>
      </c>
      <c r="W8">
        <v>3</v>
      </c>
      <c r="X8">
        <v>4</v>
      </c>
      <c r="Y8">
        <v>4</v>
      </c>
      <c r="Z8">
        <v>4</v>
      </c>
      <c r="AA8">
        <v>4</v>
      </c>
      <c r="AB8">
        <v>2</v>
      </c>
      <c r="AC8">
        <v>4</v>
      </c>
      <c r="AD8">
        <v>3</v>
      </c>
      <c r="AE8">
        <v>2</v>
      </c>
      <c r="AF8">
        <v>4</v>
      </c>
      <c r="AG8">
        <v>1</v>
      </c>
      <c r="AH8">
        <v>2</v>
      </c>
      <c r="AI8">
        <v>3</v>
      </c>
      <c r="AJ8">
        <v>5</v>
      </c>
      <c r="AK8">
        <v>5</v>
      </c>
      <c r="AL8">
        <v>4</v>
      </c>
      <c r="AM8">
        <v>4</v>
      </c>
      <c r="AN8">
        <v>5</v>
      </c>
      <c r="AO8">
        <v>1</v>
      </c>
      <c r="AP8">
        <v>4</v>
      </c>
      <c r="AQ8">
        <v>4</v>
      </c>
      <c r="AR8">
        <v>4</v>
      </c>
      <c r="AS8">
        <v>5</v>
      </c>
      <c r="AT8">
        <v>4</v>
      </c>
    </row>
    <row r="9" spans="1:46" x14ac:dyDescent="0.3">
      <c r="A9">
        <v>6</v>
      </c>
      <c r="B9">
        <v>2</v>
      </c>
      <c r="C9">
        <v>2</v>
      </c>
      <c r="D9">
        <v>5</v>
      </c>
      <c r="E9">
        <v>3</v>
      </c>
      <c r="F9">
        <v>2</v>
      </c>
      <c r="G9">
        <v>4</v>
      </c>
      <c r="H9">
        <v>4</v>
      </c>
      <c r="I9">
        <v>5</v>
      </c>
      <c r="J9">
        <v>3</v>
      </c>
      <c r="K9">
        <v>4</v>
      </c>
      <c r="L9">
        <v>3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4</v>
      </c>
      <c r="U9">
        <v>4</v>
      </c>
      <c r="V9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2</v>
      </c>
      <c r="AC9">
        <v>4</v>
      </c>
      <c r="AD9">
        <v>2</v>
      </c>
      <c r="AE9">
        <v>2</v>
      </c>
      <c r="AF9">
        <v>4</v>
      </c>
      <c r="AG9">
        <v>2</v>
      </c>
      <c r="AH9">
        <v>3</v>
      </c>
      <c r="AI9">
        <v>5</v>
      </c>
      <c r="AJ9">
        <v>4</v>
      </c>
      <c r="AK9">
        <v>4</v>
      </c>
      <c r="AL9">
        <v>4</v>
      </c>
      <c r="AM9">
        <v>4</v>
      </c>
      <c r="AN9">
        <v>5</v>
      </c>
      <c r="AO9">
        <v>2</v>
      </c>
      <c r="AP9">
        <v>4</v>
      </c>
      <c r="AQ9">
        <v>4</v>
      </c>
      <c r="AR9">
        <v>4</v>
      </c>
      <c r="AS9">
        <v>5</v>
      </c>
      <c r="AT9">
        <v>5</v>
      </c>
    </row>
    <row r="10" spans="1:46" x14ac:dyDescent="0.3">
      <c r="A10">
        <v>6</v>
      </c>
      <c r="B10">
        <v>2</v>
      </c>
      <c r="C10">
        <v>1</v>
      </c>
      <c r="D10">
        <v>5</v>
      </c>
      <c r="E10">
        <v>2</v>
      </c>
      <c r="F10">
        <v>1</v>
      </c>
      <c r="G10">
        <v>4</v>
      </c>
      <c r="H10">
        <v>3</v>
      </c>
      <c r="I10">
        <v>4</v>
      </c>
      <c r="J10">
        <v>2</v>
      </c>
      <c r="K10">
        <v>4</v>
      </c>
      <c r="L10">
        <v>3</v>
      </c>
      <c r="M10">
        <v>5</v>
      </c>
      <c r="N10">
        <v>3</v>
      </c>
      <c r="O10">
        <v>2</v>
      </c>
      <c r="P10">
        <v>3</v>
      </c>
      <c r="Q10">
        <v>5</v>
      </c>
      <c r="R10">
        <v>5</v>
      </c>
      <c r="S10">
        <v>4</v>
      </c>
      <c r="T10">
        <v>5</v>
      </c>
      <c r="U10">
        <v>3</v>
      </c>
      <c r="V10">
        <v>2</v>
      </c>
      <c r="W10">
        <v>4</v>
      </c>
      <c r="X10">
        <v>4</v>
      </c>
      <c r="Y10">
        <v>5</v>
      </c>
      <c r="Z10">
        <v>4</v>
      </c>
      <c r="AA10">
        <v>4</v>
      </c>
      <c r="AB10">
        <v>1</v>
      </c>
      <c r="AC10">
        <v>4</v>
      </c>
      <c r="AD10">
        <v>2</v>
      </c>
      <c r="AE10">
        <v>3</v>
      </c>
      <c r="AF10">
        <v>5</v>
      </c>
      <c r="AG10">
        <v>3</v>
      </c>
      <c r="AH10">
        <v>4</v>
      </c>
      <c r="AI10">
        <v>4</v>
      </c>
      <c r="AJ10">
        <v>5</v>
      </c>
      <c r="AK10">
        <v>3</v>
      </c>
      <c r="AL10">
        <v>4</v>
      </c>
      <c r="AM10">
        <v>3</v>
      </c>
      <c r="AN10">
        <v>4</v>
      </c>
      <c r="AO10">
        <v>4</v>
      </c>
      <c r="AP10">
        <v>3</v>
      </c>
      <c r="AQ10">
        <v>3</v>
      </c>
      <c r="AR10">
        <v>4</v>
      </c>
      <c r="AS10">
        <v>4</v>
      </c>
      <c r="AT10">
        <v>4</v>
      </c>
    </row>
    <row r="11" spans="1:46" x14ac:dyDescent="0.3">
      <c r="A11">
        <v>5</v>
      </c>
      <c r="B11">
        <v>2</v>
      </c>
      <c r="C11">
        <v>2</v>
      </c>
      <c r="D11">
        <v>5</v>
      </c>
      <c r="E11">
        <v>4</v>
      </c>
      <c r="F11">
        <v>2</v>
      </c>
      <c r="G11">
        <v>3</v>
      </c>
      <c r="H11">
        <v>4</v>
      </c>
      <c r="I11">
        <v>4</v>
      </c>
      <c r="J11">
        <v>3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4</v>
      </c>
      <c r="R11">
        <v>4</v>
      </c>
      <c r="S11">
        <v>3</v>
      </c>
      <c r="T11">
        <v>4</v>
      </c>
      <c r="U11">
        <v>4</v>
      </c>
      <c r="V11">
        <v>4</v>
      </c>
      <c r="W11">
        <v>4</v>
      </c>
      <c r="X11">
        <v>5</v>
      </c>
      <c r="Y11">
        <v>4</v>
      </c>
      <c r="Z11">
        <v>5</v>
      </c>
      <c r="AA11">
        <v>4</v>
      </c>
      <c r="AB11">
        <v>2</v>
      </c>
      <c r="AC11">
        <v>2</v>
      </c>
      <c r="AD11">
        <v>4</v>
      </c>
      <c r="AE11">
        <v>2</v>
      </c>
      <c r="AF11">
        <v>4</v>
      </c>
      <c r="AG11">
        <v>2</v>
      </c>
      <c r="AH11">
        <v>4</v>
      </c>
      <c r="AI11">
        <v>4</v>
      </c>
      <c r="AJ11">
        <v>4</v>
      </c>
      <c r="AK11">
        <v>4</v>
      </c>
      <c r="AL11">
        <v>4</v>
      </c>
      <c r="AM11">
        <v>4</v>
      </c>
      <c r="AN11">
        <v>4</v>
      </c>
      <c r="AO11">
        <v>2</v>
      </c>
      <c r="AP11">
        <v>4</v>
      </c>
      <c r="AQ11">
        <v>4</v>
      </c>
      <c r="AR11">
        <v>4</v>
      </c>
      <c r="AS11">
        <v>4</v>
      </c>
      <c r="AT11">
        <v>4</v>
      </c>
    </row>
    <row r="12" spans="1:46" x14ac:dyDescent="0.3">
      <c r="A12">
        <v>3</v>
      </c>
      <c r="B12">
        <v>2</v>
      </c>
      <c r="C12">
        <v>2</v>
      </c>
      <c r="D12">
        <v>3</v>
      </c>
      <c r="E12">
        <v>2</v>
      </c>
      <c r="F12">
        <v>2</v>
      </c>
      <c r="G12">
        <v>4</v>
      </c>
      <c r="H12">
        <v>5</v>
      </c>
      <c r="I12">
        <v>4</v>
      </c>
      <c r="J12">
        <v>4</v>
      </c>
      <c r="K12">
        <v>4</v>
      </c>
      <c r="L12">
        <v>5</v>
      </c>
      <c r="M12">
        <v>4</v>
      </c>
      <c r="N12">
        <v>5</v>
      </c>
      <c r="O12">
        <v>5</v>
      </c>
      <c r="P12">
        <v>5</v>
      </c>
      <c r="Q12">
        <v>4</v>
      </c>
      <c r="R12">
        <v>4</v>
      </c>
      <c r="S12">
        <v>2</v>
      </c>
      <c r="T12">
        <v>4</v>
      </c>
      <c r="U12">
        <v>4</v>
      </c>
      <c r="V12">
        <v>1</v>
      </c>
      <c r="W12">
        <v>2</v>
      </c>
      <c r="X12">
        <v>4</v>
      </c>
      <c r="Y12">
        <v>4</v>
      </c>
      <c r="Z12">
        <v>4</v>
      </c>
      <c r="AA12">
        <v>5</v>
      </c>
      <c r="AB12">
        <v>5</v>
      </c>
      <c r="AC12">
        <v>4</v>
      </c>
      <c r="AD12">
        <v>5</v>
      </c>
      <c r="AE12">
        <v>5</v>
      </c>
      <c r="AF12">
        <v>5</v>
      </c>
      <c r="AG12">
        <v>1</v>
      </c>
      <c r="AH12">
        <v>4</v>
      </c>
      <c r="AI12">
        <v>5</v>
      </c>
      <c r="AJ12">
        <v>4</v>
      </c>
      <c r="AK12">
        <v>4</v>
      </c>
      <c r="AL12">
        <v>4</v>
      </c>
      <c r="AM12">
        <v>5</v>
      </c>
      <c r="AN12">
        <v>5</v>
      </c>
      <c r="AO12">
        <v>4</v>
      </c>
      <c r="AP12">
        <v>4</v>
      </c>
      <c r="AQ12">
        <v>4</v>
      </c>
      <c r="AR12">
        <v>4</v>
      </c>
      <c r="AS12">
        <v>4</v>
      </c>
      <c r="AT12">
        <v>4</v>
      </c>
    </row>
    <row r="13" spans="1:46" x14ac:dyDescent="0.3">
      <c r="A13">
        <v>4</v>
      </c>
      <c r="B13">
        <v>2</v>
      </c>
      <c r="C13">
        <v>1</v>
      </c>
      <c r="D13">
        <v>2</v>
      </c>
      <c r="E13">
        <v>1</v>
      </c>
      <c r="F13">
        <v>3</v>
      </c>
      <c r="G13">
        <v>5</v>
      </c>
      <c r="H13">
        <v>5</v>
      </c>
      <c r="I13">
        <v>5</v>
      </c>
      <c r="J13">
        <v>3</v>
      </c>
      <c r="K13">
        <v>5</v>
      </c>
      <c r="L13">
        <v>2</v>
      </c>
      <c r="M13">
        <v>5</v>
      </c>
      <c r="N13">
        <v>4</v>
      </c>
      <c r="O13">
        <v>5</v>
      </c>
      <c r="P13">
        <v>5</v>
      </c>
      <c r="Q13">
        <v>4</v>
      </c>
      <c r="R13">
        <v>5</v>
      </c>
      <c r="S13">
        <v>3</v>
      </c>
      <c r="T13">
        <v>4</v>
      </c>
      <c r="U13">
        <v>5</v>
      </c>
      <c r="V13">
        <v>3</v>
      </c>
      <c r="W13">
        <v>5</v>
      </c>
      <c r="X13">
        <v>5</v>
      </c>
      <c r="Y13">
        <v>2</v>
      </c>
      <c r="Z13">
        <v>3</v>
      </c>
      <c r="AA13">
        <v>5</v>
      </c>
      <c r="AB13">
        <v>1</v>
      </c>
      <c r="AC13">
        <v>1</v>
      </c>
      <c r="AD13">
        <v>1</v>
      </c>
      <c r="AE13">
        <v>4</v>
      </c>
      <c r="AF13">
        <v>3</v>
      </c>
      <c r="AG13">
        <v>3</v>
      </c>
      <c r="AH13">
        <v>1</v>
      </c>
      <c r="AI13">
        <v>5</v>
      </c>
      <c r="AJ13">
        <v>5</v>
      </c>
      <c r="AK13">
        <v>5</v>
      </c>
      <c r="AL13">
        <v>4</v>
      </c>
      <c r="AM13">
        <v>1</v>
      </c>
      <c r="AN13">
        <v>5</v>
      </c>
      <c r="AO13">
        <v>1</v>
      </c>
      <c r="AP13">
        <v>3</v>
      </c>
      <c r="AQ13">
        <v>4</v>
      </c>
      <c r="AR13">
        <v>2</v>
      </c>
      <c r="AS13">
        <v>5</v>
      </c>
      <c r="AT13">
        <v>2</v>
      </c>
    </row>
    <row r="14" spans="1:46" x14ac:dyDescent="0.3">
      <c r="A14">
        <v>4</v>
      </c>
      <c r="B14">
        <v>2</v>
      </c>
      <c r="C14">
        <v>2</v>
      </c>
      <c r="D14">
        <v>2</v>
      </c>
      <c r="E14">
        <v>3</v>
      </c>
      <c r="F14">
        <v>2</v>
      </c>
      <c r="G14">
        <v>5</v>
      </c>
      <c r="H14">
        <v>5</v>
      </c>
      <c r="I14">
        <v>4</v>
      </c>
      <c r="J14">
        <v>4</v>
      </c>
      <c r="K14">
        <v>3</v>
      </c>
      <c r="L14">
        <v>3</v>
      </c>
      <c r="M14">
        <v>4</v>
      </c>
      <c r="N14">
        <v>4</v>
      </c>
      <c r="O14">
        <v>5</v>
      </c>
      <c r="P14">
        <v>4</v>
      </c>
      <c r="Q14">
        <v>5</v>
      </c>
      <c r="R14">
        <v>4</v>
      </c>
      <c r="S14">
        <v>5</v>
      </c>
      <c r="T14">
        <v>5</v>
      </c>
      <c r="U14">
        <v>5</v>
      </c>
      <c r="V14">
        <v>3</v>
      </c>
      <c r="W14">
        <v>2</v>
      </c>
      <c r="X14">
        <v>4</v>
      </c>
      <c r="Y14">
        <v>4</v>
      </c>
      <c r="Z14">
        <v>3</v>
      </c>
      <c r="AA14">
        <v>5</v>
      </c>
      <c r="AB14">
        <v>5</v>
      </c>
      <c r="AC14">
        <v>4</v>
      </c>
      <c r="AD14">
        <v>3</v>
      </c>
      <c r="AE14">
        <v>4</v>
      </c>
      <c r="AF14">
        <v>4</v>
      </c>
      <c r="AG14">
        <v>2</v>
      </c>
      <c r="AH14">
        <v>4</v>
      </c>
      <c r="AI14">
        <v>5</v>
      </c>
      <c r="AJ14">
        <v>4</v>
      </c>
      <c r="AK14">
        <v>5</v>
      </c>
      <c r="AL14">
        <v>4</v>
      </c>
      <c r="AM14">
        <v>4</v>
      </c>
      <c r="AN14">
        <v>5</v>
      </c>
      <c r="AO14">
        <v>1</v>
      </c>
      <c r="AP14">
        <v>3</v>
      </c>
      <c r="AQ14">
        <v>4</v>
      </c>
      <c r="AR14">
        <v>3</v>
      </c>
      <c r="AS14">
        <v>5</v>
      </c>
      <c r="AT14">
        <v>4</v>
      </c>
    </row>
    <row r="15" spans="1:46" x14ac:dyDescent="0.3">
      <c r="A15">
        <v>4</v>
      </c>
      <c r="B15">
        <v>2</v>
      </c>
      <c r="C15">
        <v>1</v>
      </c>
      <c r="D15">
        <v>1</v>
      </c>
      <c r="E15">
        <v>1</v>
      </c>
      <c r="F15">
        <v>2</v>
      </c>
      <c r="G15">
        <v>3</v>
      </c>
      <c r="H15">
        <v>2</v>
      </c>
      <c r="I15">
        <v>4</v>
      </c>
      <c r="J15">
        <v>2</v>
      </c>
      <c r="K15">
        <v>3</v>
      </c>
      <c r="L15">
        <v>2</v>
      </c>
      <c r="M15">
        <v>2</v>
      </c>
      <c r="N15">
        <v>4</v>
      </c>
      <c r="O15">
        <v>4</v>
      </c>
      <c r="P15">
        <v>4</v>
      </c>
      <c r="Q15">
        <v>2</v>
      </c>
      <c r="R15">
        <v>4</v>
      </c>
      <c r="S15">
        <v>4</v>
      </c>
      <c r="T15">
        <v>3</v>
      </c>
      <c r="U15">
        <v>4</v>
      </c>
      <c r="V15">
        <v>4</v>
      </c>
      <c r="W15">
        <v>4</v>
      </c>
      <c r="X15">
        <v>3</v>
      </c>
      <c r="Y15">
        <v>2</v>
      </c>
      <c r="Z15">
        <v>4</v>
      </c>
      <c r="AA15">
        <v>4</v>
      </c>
      <c r="AB15">
        <v>2</v>
      </c>
      <c r="AC15">
        <v>2</v>
      </c>
      <c r="AD15">
        <v>2</v>
      </c>
      <c r="AE15">
        <v>2</v>
      </c>
      <c r="AF15">
        <v>3</v>
      </c>
      <c r="AG15">
        <v>2</v>
      </c>
      <c r="AH15">
        <v>2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2</v>
      </c>
      <c r="AP15">
        <v>3</v>
      </c>
      <c r="AQ15">
        <v>3</v>
      </c>
      <c r="AR15">
        <v>2</v>
      </c>
      <c r="AS15">
        <v>4</v>
      </c>
      <c r="AT15">
        <v>3</v>
      </c>
    </row>
    <row r="16" spans="1:46" x14ac:dyDescent="0.3">
      <c r="A16">
        <v>5</v>
      </c>
      <c r="B16">
        <v>2</v>
      </c>
      <c r="C16">
        <v>1</v>
      </c>
      <c r="D16">
        <v>5</v>
      </c>
      <c r="E16">
        <v>1</v>
      </c>
      <c r="F16">
        <v>2</v>
      </c>
      <c r="G16">
        <v>3</v>
      </c>
      <c r="H16">
        <v>5</v>
      </c>
      <c r="I16">
        <v>4</v>
      </c>
      <c r="J16">
        <v>3</v>
      </c>
      <c r="K16">
        <v>4</v>
      </c>
      <c r="L16">
        <v>2</v>
      </c>
      <c r="M16">
        <v>4</v>
      </c>
      <c r="N16">
        <v>4</v>
      </c>
      <c r="O16">
        <v>5</v>
      </c>
      <c r="P16">
        <v>4</v>
      </c>
      <c r="Q16">
        <v>3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2</v>
      </c>
      <c r="Z16">
        <v>3</v>
      </c>
      <c r="AA16">
        <v>4</v>
      </c>
      <c r="AB16">
        <v>1</v>
      </c>
      <c r="AC16">
        <v>2</v>
      </c>
      <c r="AD16">
        <v>3</v>
      </c>
      <c r="AE16">
        <v>3</v>
      </c>
      <c r="AF16">
        <v>3</v>
      </c>
      <c r="AG16">
        <v>4</v>
      </c>
      <c r="AH16">
        <v>3</v>
      </c>
      <c r="AI16">
        <v>4</v>
      </c>
      <c r="AJ16">
        <v>4</v>
      </c>
      <c r="AK16">
        <v>4</v>
      </c>
      <c r="AL16">
        <v>4</v>
      </c>
      <c r="AM16">
        <v>4</v>
      </c>
      <c r="AN16">
        <v>4</v>
      </c>
      <c r="AO16">
        <v>1</v>
      </c>
      <c r="AP16">
        <v>4</v>
      </c>
      <c r="AQ16">
        <v>4</v>
      </c>
      <c r="AR16">
        <v>3</v>
      </c>
      <c r="AS16">
        <v>4</v>
      </c>
      <c r="AT16">
        <v>4</v>
      </c>
    </row>
    <row r="17" spans="1:46" x14ac:dyDescent="0.3">
      <c r="A17">
        <v>3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  <c r="I17">
        <v>4</v>
      </c>
      <c r="J17">
        <v>2</v>
      </c>
      <c r="K17">
        <v>2</v>
      </c>
      <c r="L17">
        <v>2</v>
      </c>
      <c r="M17">
        <v>3</v>
      </c>
      <c r="N17">
        <v>3</v>
      </c>
      <c r="O17">
        <v>4</v>
      </c>
      <c r="P17">
        <v>4</v>
      </c>
      <c r="Q17">
        <v>3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3</v>
      </c>
      <c r="AB17">
        <v>3</v>
      </c>
      <c r="AC17">
        <v>3</v>
      </c>
      <c r="AD17">
        <v>4</v>
      </c>
      <c r="AE17">
        <v>3</v>
      </c>
      <c r="AF17">
        <v>4</v>
      </c>
      <c r="AG17">
        <v>3</v>
      </c>
      <c r="AH17">
        <v>4</v>
      </c>
      <c r="AI17">
        <v>4</v>
      </c>
      <c r="AJ17">
        <v>3</v>
      </c>
      <c r="AK17">
        <v>3</v>
      </c>
      <c r="AL17">
        <v>3</v>
      </c>
      <c r="AM17">
        <v>4</v>
      </c>
      <c r="AN17">
        <v>4</v>
      </c>
      <c r="AO17">
        <v>2</v>
      </c>
      <c r="AP17">
        <v>3</v>
      </c>
      <c r="AQ17">
        <v>4</v>
      </c>
      <c r="AR17">
        <v>2</v>
      </c>
      <c r="AS17">
        <v>4</v>
      </c>
      <c r="AT17">
        <v>4</v>
      </c>
    </row>
    <row r="18" spans="1:46" x14ac:dyDescent="0.3">
      <c r="A18">
        <v>5</v>
      </c>
      <c r="B18">
        <v>2</v>
      </c>
      <c r="C18">
        <v>2</v>
      </c>
      <c r="D18">
        <v>4</v>
      </c>
      <c r="E18">
        <v>2</v>
      </c>
      <c r="F18">
        <v>1</v>
      </c>
      <c r="G18">
        <v>5</v>
      </c>
      <c r="H18">
        <v>3</v>
      </c>
      <c r="I18">
        <v>4</v>
      </c>
      <c r="J18">
        <v>3</v>
      </c>
      <c r="K18">
        <v>2</v>
      </c>
      <c r="L18">
        <v>1</v>
      </c>
      <c r="M18">
        <v>3</v>
      </c>
      <c r="N18">
        <v>4</v>
      </c>
      <c r="O18">
        <v>3</v>
      </c>
      <c r="P18">
        <v>5</v>
      </c>
      <c r="Q18">
        <v>2</v>
      </c>
      <c r="R18">
        <v>4</v>
      </c>
      <c r="S18">
        <v>3</v>
      </c>
      <c r="T18">
        <v>3</v>
      </c>
      <c r="U18">
        <v>4</v>
      </c>
      <c r="V18">
        <v>3</v>
      </c>
      <c r="W18">
        <v>4</v>
      </c>
      <c r="X18">
        <v>5</v>
      </c>
      <c r="Y18">
        <v>3</v>
      </c>
      <c r="Z18">
        <v>4</v>
      </c>
      <c r="AA18">
        <v>5</v>
      </c>
      <c r="AB18">
        <v>3</v>
      </c>
      <c r="AC18">
        <v>3</v>
      </c>
      <c r="AD18">
        <v>4</v>
      </c>
      <c r="AE18">
        <v>4</v>
      </c>
      <c r="AF18">
        <v>4</v>
      </c>
      <c r="AG18">
        <v>3</v>
      </c>
      <c r="AH18">
        <v>2</v>
      </c>
      <c r="AI18">
        <v>2</v>
      </c>
      <c r="AJ18">
        <v>5</v>
      </c>
      <c r="AK18">
        <v>3</v>
      </c>
      <c r="AL18">
        <v>2</v>
      </c>
      <c r="AM18">
        <v>4</v>
      </c>
      <c r="AN18">
        <v>5</v>
      </c>
      <c r="AO18">
        <v>3</v>
      </c>
      <c r="AP18">
        <v>4</v>
      </c>
      <c r="AQ18">
        <v>4</v>
      </c>
      <c r="AR18">
        <v>2</v>
      </c>
      <c r="AS18">
        <v>5</v>
      </c>
      <c r="AT18">
        <v>3</v>
      </c>
    </row>
    <row r="19" spans="1:46" x14ac:dyDescent="0.3">
      <c r="A19">
        <v>4</v>
      </c>
      <c r="B19">
        <v>2</v>
      </c>
      <c r="C19">
        <v>3</v>
      </c>
      <c r="D19">
        <v>3</v>
      </c>
      <c r="E19">
        <v>4</v>
      </c>
      <c r="F19">
        <v>2</v>
      </c>
      <c r="G19">
        <v>3</v>
      </c>
      <c r="H19">
        <v>4</v>
      </c>
      <c r="I19">
        <v>5</v>
      </c>
      <c r="J19">
        <v>4</v>
      </c>
      <c r="K19">
        <v>5</v>
      </c>
      <c r="L19">
        <v>4</v>
      </c>
      <c r="M19">
        <v>4</v>
      </c>
      <c r="N19">
        <v>4</v>
      </c>
      <c r="O19">
        <v>5</v>
      </c>
      <c r="P19">
        <v>5</v>
      </c>
      <c r="Q19">
        <v>5</v>
      </c>
      <c r="R19">
        <v>4</v>
      </c>
      <c r="S19">
        <v>2</v>
      </c>
      <c r="T19">
        <v>4</v>
      </c>
      <c r="U19">
        <v>4</v>
      </c>
      <c r="V19">
        <v>3</v>
      </c>
      <c r="W19">
        <v>4</v>
      </c>
      <c r="X19">
        <v>4</v>
      </c>
      <c r="Y19">
        <v>5</v>
      </c>
      <c r="Z19">
        <v>5</v>
      </c>
      <c r="AA19">
        <v>5</v>
      </c>
      <c r="AB19">
        <v>2</v>
      </c>
      <c r="AC19">
        <v>3</v>
      </c>
      <c r="AD19">
        <v>3</v>
      </c>
      <c r="AE19">
        <v>4</v>
      </c>
      <c r="AF19">
        <v>4</v>
      </c>
      <c r="AG19">
        <v>2</v>
      </c>
      <c r="AH19">
        <v>3</v>
      </c>
      <c r="AI19">
        <v>5</v>
      </c>
      <c r="AJ19">
        <v>4</v>
      </c>
      <c r="AK19">
        <v>5</v>
      </c>
      <c r="AL19">
        <v>4</v>
      </c>
      <c r="AM19">
        <v>5</v>
      </c>
      <c r="AN19">
        <v>5</v>
      </c>
      <c r="AO19">
        <v>1</v>
      </c>
      <c r="AP19">
        <v>4</v>
      </c>
      <c r="AQ19">
        <v>4</v>
      </c>
      <c r="AR19">
        <v>4</v>
      </c>
      <c r="AS19">
        <v>5</v>
      </c>
      <c r="AT19">
        <v>4</v>
      </c>
    </row>
    <row r="20" spans="1:46" x14ac:dyDescent="0.3">
      <c r="A20">
        <v>5</v>
      </c>
      <c r="B20">
        <v>2</v>
      </c>
      <c r="C20">
        <v>3</v>
      </c>
      <c r="D20">
        <v>5</v>
      </c>
      <c r="E20">
        <v>4</v>
      </c>
      <c r="F20">
        <v>2</v>
      </c>
      <c r="G20">
        <v>4</v>
      </c>
      <c r="H20">
        <v>5</v>
      </c>
      <c r="I20">
        <v>4</v>
      </c>
      <c r="J20">
        <v>2</v>
      </c>
      <c r="K20">
        <v>4</v>
      </c>
      <c r="L20">
        <v>2</v>
      </c>
      <c r="M20">
        <v>2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3</v>
      </c>
      <c r="Z20">
        <v>4</v>
      </c>
      <c r="AA20">
        <v>4</v>
      </c>
      <c r="AB20">
        <v>2</v>
      </c>
      <c r="AC20">
        <v>4</v>
      </c>
      <c r="AD20">
        <v>3</v>
      </c>
      <c r="AE20">
        <v>2</v>
      </c>
      <c r="AF20">
        <v>4</v>
      </c>
      <c r="AG20">
        <v>4</v>
      </c>
      <c r="AH20">
        <v>5</v>
      </c>
      <c r="AI20">
        <v>5</v>
      </c>
      <c r="AJ20">
        <v>4</v>
      </c>
      <c r="AK20">
        <v>4</v>
      </c>
      <c r="AL20">
        <v>2</v>
      </c>
      <c r="AM20">
        <v>4</v>
      </c>
      <c r="AN20">
        <v>2</v>
      </c>
      <c r="AO20">
        <v>4</v>
      </c>
      <c r="AP20">
        <v>3</v>
      </c>
      <c r="AQ20">
        <v>4</v>
      </c>
      <c r="AR20">
        <v>4</v>
      </c>
      <c r="AS20">
        <v>4</v>
      </c>
      <c r="AT20">
        <v>4</v>
      </c>
    </row>
    <row r="21" spans="1:46" x14ac:dyDescent="0.3">
      <c r="A21">
        <v>5</v>
      </c>
      <c r="B21">
        <v>2</v>
      </c>
      <c r="C21">
        <v>1</v>
      </c>
      <c r="D21">
        <v>5</v>
      </c>
      <c r="E21">
        <v>1</v>
      </c>
      <c r="F21">
        <v>2</v>
      </c>
      <c r="G21">
        <v>4</v>
      </c>
      <c r="H21">
        <v>4</v>
      </c>
      <c r="I21">
        <v>5</v>
      </c>
      <c r="J21">
        <v>4</v>
      </c>
      <c r="K21">
        <v>5</v>
      </c>
      <c r="L21">
        <v>3</v>
      </c>
      <c r="M21">
        <v>3</v>
      </c>
      <c r="N21">
        <v>4</v>
      </c>
      <c r="O21">
        <v>5</v>
      </c>
      <c r="P21">
        <v>5</v>
      </c>
      <c r="Q21">
        <v>5</v>
      </c>
      <c r="R21">
        <v>5</v>
      </c>
      <c r="S21">
        <v>4</v>
      </c>
      <c r="T21">
        <v>5</v>
      </c>
      <c r="U21">
        <v>5</v>
      </c>
      <c r="V21">
        <v>2</v>
      </c>
      <c r="W21">
        <v>5</v>
      </c>
      <c r="X21">
        <v>5</v>
      </c>
      <c r="Y21">
        <v>5</v>
      </c>
      <c r="Z21">
        <v>5</v>
      </c>
      <c r="AA21">
        <v>3</v>
      </c>
      <c r="AB21">
        <v>2</v>
      </c>
      <c r="AC21">
        <v>2</v>
      </c>
      <c r="AD21">
        <v>3</v>
      </c>
      <c r="AE21">
        <v>3</v>
      </c>
      <c r="AF21">
        <v>3</v>
      </c>
      <c r="AG21">
        <v>4</v>
      </c>
      <c r="AH21">
        <v>4</v>
      </c>
      <c r="AI21">
        <v>4</v>
      </c>
      <c r="AJ21">
        <v>4</v>
      </c>
      <c r="AK21">
        <v>3</v>
      </c>
      <c r="AL21">
        <v>3</v>
      </c>
      <c r="AM21">
        <v>4</v>
      </c>
      <c r="AN21">
        <v>5</v>
      </c>
      <c r="AO21">
        <v>3</v>
      </c>
      <c r="AP21">
        <v>4</v>
      </c>
      <c r="AQ21">
        <v>3</v>
      </c>
      <c r="AR21">
        <v>4</v>
      </c>
      <c r="AS21">
        <v>5</v>
      </c>
      <c r="AT21">
        <v>4</v>
      </c>
    </row>
    <row r="22" spans="1:46" x14ac:dyDescent="0.3">
      <c r="A22">
        <v>3</v>
      </c>
      <c r="B22">
        <v>2</v>
      </c>
      <c r="C22">
        <v>2</v>
      </c>
      <c r="D22">
        <v>3</v>
      </c>
      <c r="E22">
        <v>3</v>
      </c>
      <c r="F22">
        <v>2</v>
      </c>
      <c r="G22">
        <v>1</v>
      </c>
      <c r="H22">
        <v>4</v>
      </c>
      <c r="I22">
        <v>4</v>
      </c>
      <c r="J22">
        <v>2</v>
      </c>
      <c r="K22">
        <v>4</v>
      </c>
      <c r="L22">
        <v>2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2</v>
      </c>
      <c r="AC22">
        <v>2</v>
      </c>
      <c r="AD22">
        <v>2</v>
      </c>
      <c r="AE22">
        <v>2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2</v>
      </c>
      <c r="AP22">
        <v>4</v>
      </c>
      <c r="AQ22">
        <v>4</v>
      </c>
      <c r="AR22">
        <v>4</v>
      </c>
      <c r="AS22">
        <v>4</v>
      </c>
      <c r="AT22">
        <v>4</v>
      </c>
    </row>
    <row r="23" spans="1:46" x14ac:dyDescent="0.3">
      <c r="A23">
        <v>4</v>
      </c>
      <c r="B23">
        <v>2</v>
      </c>
      <c r="C23">
        <v>2</v>
      </c>
      <c r="D23">
        <v>4</v>
      </c>
      <c r="E23">
        <v>2</v>
      </c>
      <c r="F23">
        <v>2</v>
      </c>
      <c r="G23">
        <v>4</v>
      </c>
      <c r="H23">
        <v>5</v>
      </c>
      <c r="I23">
        <v>5</v>
      </c>
      <c r="J23">
        <v>4</v>
      </c>
      <c r="K23">
        <v>4</v>
      </c>
      <c r="L23">
        <v>4</v>
      </c>
      <c r="M23">
        <v>5</v>
      </c>
      <c r="N23">
        <v>5</v>
      </c>
      <c r="O23">
        <v>5</v>
      </c>
      <c r="P23">
        <v>5</v>
      </c>
      <c r="Q23">
        <v>5</v>
      </c>
      <c r="R23">
        <v>5</v>
      </c>
      <c r="S23">
        <v>4</v>
      </c>
      <c r="T23">
        <v>3</v>
      </c>
      <c r="U23">
        <v>3</v>
      </c>
      <c r="V23">
        <v>3</v>
      </c>
      <c r="W23">
        <v>4</v>
      </c>
      <c r="X23">
        <v>3</v>
      </c>
      <c r="Y23">
        <v>2</v>
      </c>
      <c r="Z23">
        <v>4</v>
      </c>
      <c r="AA23">
        <v>5</v>
      </c>
      <c r="AB23">
        <v>1</v>
      </c>
      <c r="AC23">
        <v>3</v>
      </c>
      <c r="AD23">
        <v>2</v>
      </c>
      <c r="AE23">
        <v>3</v>
      </c>
      <c r="AF23">
        <v>5</v>
      </c>
      <c r="AG23">
        <v>1</v>
      </c>
      <c r="AH23">
        <v>3</v>
      </c>
      <c r="AI23">
        <v>5</v>
      </c>
      <c r="AJ23">
        <v>3</v>
      </c>
      <c r="AK23">
        <v>5</v>
      </c>
      <c r="AL23">
        <v>5</v>
      </c>
      <c r="AM23">
        <v>5</v>
      </c>
      <c r="AN23">
        <v>5</v>
      </c>
      <c r="AO23">
        <v>1</v>
      </c>
      <c r="AP23">
        <v>4</v>
      </c>
      <c r="AQ23">
        <v>5</v>
      </c>
      <c r="AR23">
        <v>5</v>
      </c>
      <c r="AS23">
        <v>5</v>
      </c>
      <c r="AT23">
        <v>5</v>
      </c>
    </row>
    <row r="24" spans="1:46" x14ac:dyDescent="0.3">
      <c r="A24">
        <v>4</v>
      </c>
      <c r="B24">
        <v>2</v>
      </c>
      <c r="C24">
        <v>2</v>
      </c>
      <c r="D24">
        <v>4</v>
      </c>
      <c r="E24">
        <v>2</v>
      </c>
      <c r="F24">
        <v>3</v>
      </c>
      <c r="G24">
        <v>2</v>
      </c>
      <c r="H24">
        <v>4</v>
      </c>
      <c r="I24">
        <v>5</v>
      </c>
      <c r="J24">
        <v>5</v>
      </c>
      <c r="K24">
        <v>4</v>
      </c>
      <c r="L24">
        <v>5</v>
      </c>
      <c r="M24">
        <v>5</v>
      </c>
      <c r="N24">
        <v>4</v>
      </c>
      <c r="O24">
        <v>5</v>
      </c>
      <c r="P24">
        <v>4</v>
      </c>
      <c r="Q24">
        <v>5</v>
      </c>
      <c r="R24">
        <v>5</v>
      </c>
      <c r="S24">
        <v>4</v>
      </c>
      <c r="T24">
        <v>5</v>
      </c>
      <c r="U24">
        <v>5</v>
      </c>
      <c r="V24">
        <v>2</v>
      </c>
      <c r="W24">
        <v>4</v>
      </c>
      <c r="X24">
        <v>3</v>
      </c>
      <c r="Y24">
        <v>4</v>
      </c>
      <c r="Z24">
        <v>3</v>
      </c>
      <c r="AA24">
        <v>5</v>
      </c>
      <c r="AB24">
        <v>2</v>
      </c>
      <c r="AC24">
        <v>3</v>
      </c>
      <c r="AD24">
        <v>2</v>
      </c>
      <c r="AE24">
        <v>3</v>
      </c>
      <c r="AF24">
        <v>3</v>
      </c>
      <c r="AG24">
        <v>1</v>
      </c>
      <c r="AH24">
        <v>5</v>
      </c>
      <c r="AI24">
        <v>5</v>
      </c>
      <c r="AJ24">
        <v>4</v>
      </c>
      <c r="AK24">
        <v>4</v>
      </c>
      <c r="AL24">
        <v>5</v>
      </c>
      <c r="AM24">
        <v>4</v>
      </c>
      <c r="AN24">
        <v>4</v>
      </c>
      <c r="AO24">
        <v>2</v>
      </c>
      <c r="AP24">
        <v>4</v>
      </c>
      <c r="AQ24">
        <v>4</v>
      </c>
      <c r="AR24">
        <v>3</v>
      </c>
      <c r="AS24">
        <v>4</v>
      </c>
      <c r="AT24">
        <v>5</v>
      </c>
    </row>
    <row r="25" spans="1:46" x14ac:dyDescent="0.3">
      <c r="A25">
        <v>2</v>
      </c>
      <c r="B25">
        <v>2</v>
      </c>
      <c r="C25">
        <v>2</v>
      </c>
      <c r="D25">
        <v>1</v>
      </c>
      <c r="E25">
        <v>2</v>
      </c>
      <c r="F25">
        <v>3</v>
      </c>
      <c r="G25">
        <v>4</v>
      </c>
      <c r="H25">
        <v>5</v>
      </c>
      <c r="I25">
        <v>5</v>
      </c>
      <c r="J25">
        <v>3</v>
      </c>
      <c r="K25">
        <v>4</v>
      </c>
      <c r="L25">
        <v>3</v>
      </c>
      <c r="M25">
        <v>4</v>
      </c>
      <c r="N25">
        <v>4</v>
      </c>
      <c r="O25">
        <v>5</v>
      </c>
      <c r="P25">
        <v>4</v>
      </c>
      <c r="Q25">
        <v>5</v>
      </c>
      <c r="R25">
        <v>3</v>
      </c>
      <c r="S25">
        <v>3</v>
      </c>
      <c r="T25">
        <v>4</v>
      </c>
      <c r="U25">
        <v>4</v>
      </c>
      <c r="V25">
        <v>2</v>
      </c>
      <c r="W25">
        <v>2</v>
      </c>
      <c r="X25">
        <v>4</v>
      </c>
      <c r="Y25">
        <v>4</v>
      </c>
      <c r="Z25">
        <v>4</v>
      </c>
      <c r="AA25">
        <v>5</v>
      </c>
      <c r="AB25">
        <v>4</v>
      </c>
      <c r="AC25">
        <v>4</v>
      </c>
      <c r="AD25">
        <v>5</v>
      </c>
      <c r="AE25">
        <v>4</v>
      </c>
      <c r="AF25">
        <v>3</v>
      </c>
      <c r="AG25">
        <v>1</v>
      </c>
      <c r="AH25">
        <v>3</v>
      </c>
      <c r="AI25">
        <v>3</v>
      </c>
      <c r="AJ25">
        <v>5</v>
      </c>
      <c r="AK25">
        <v>5</v>
      </c>
      <c r="AL25">
        <v>5</v>
      </c>
      <c r="AM25">
        <v>5</v>
      </c>
      <c r="AN25">
        <v>5</v>
      </c>
      <c r="AO25">
        <v>1</v>
      </c>
      <c r="AP25">
        <v>5</v>
      </c>
      <c r="AQ25">
        <v>3</v>
      </c>
      <c r="AR25">
        <v>4</v>
      </c>
      <c r="AS25">
        <v>5</v>
      </c>
      <c r="AT25">
        <v>5</v>
      </c>
    </row>
    <row r="26" spans="1:46" x14ac:dyDescent="0.3">
      <c r="A26">
        <v>3</v>
      </c>
      <c r="B26">
        <v>2</v>
      </c>
      <c r="C26">
        <v>2</v>
      </c>
      <c r="D26">
        <v>2</v>
      </c>
      <c r="E26">
        <v>2</v>
      </c>
      <c r="F26">
        <v>3</v>
      </c>
      <c r="G26">
        <v>3</v>
      </c>
      <c r="H26">
        <v>4</v>
      </c>
      <c r="I26">
        <v>4</v>
      </c>
      <c r="J26">
        <v>3</v>
      </c>
      <c r="K26">
        <v>3</v>
      </c>
      <c r="L26">
        <v>4</v>
      </c>
      <c r="M26">
        <v>4</v>
      </c>
      <c r="N26">
        <v>5</v>
      </c>
      <c r="O26">
        <v>4</v>
      </c>
      <c r="P26">
        <v>5</v>
      </c>
      <c r="Q26">
        <v>5</v>
      </c>
      <c r="R26">
        <v>5</v>
      </c>
      <c r="S26">
        <v>2</v>
      </c>
      <c r="T26">
        <v>5</v>
      </c>
      <c r="U26">
        <v>4</v>
      </c>
      <c r="V26">
        <v>2</v>
      </c>
      <c r="W26">
        <v>3</v>
      </c>
      <c r="X26">
        <v>4</v>
      </c>
      <c r="Y26">
        <v>5</v>
      </c>
      <c r="Z26">
        <v>5</v>
      </c>
      <c r="AA26">
        <v>5</v>
      </c>
      <c r="AB26">
        <v>2</v>
      </c>
      <c r="AC26">
        <v>4</v>
      </c>
      <c r="AD26">
        <v>4</v>
      </c>
      <c r="AE26">
        <v>5</v>
      </c>
      <c r="AF26">
        <v>5</v>
      </c>
      <c r="AG26">
        <v>1</v>
      </c>
      <c r="AH26">
        <v>2</v>
      </c>
      <c r="AI26">
        <v>5</v>
      </c>
      <c r="AJ26">
        <v>5</v>
      </c>
      <c r="AK26">
        <v>5</v>
      </c>
      <c r="AL26">
        <v>5</v>
      </c>
      <c r="AM26">
        <v>4</v>
      </c>
      <c r="AN26">
        <v>5</v>
      </c>
      <c r="AO26">
        <v>2</v>
      </c>
      <c r="AP26">
        <v>4</v>
      </c>
      <c r="AQ26">
        <v>5</v>
      </c>
      <c r="AR26">
        <v>4</v>
      </c>
      <c r="AS26">
        <v>5</v>
      </c>
      <c r="AT26">
        <v>5</v>
      </c>
    </row>
    <row r="27" spans="1:46" x14ac:dyDescent="0.3">
      <c r="A27">
        <v>3</v>
      </c>
      <c r="B27">
        <v>2</v>
      </c>
      <c r="C27">
        <v>2</v>
      </c>
      <c r="D27">
        <v>2</v>
      </c>
      <c r="E27">
        <v>2</v>
      </c>
      <c r="F27">
        <v>2</v>
      </c>
      <c r="G27">
        <v>3</v>
      </c>
      <c r="H27">
        <v>4</v>
      </c>
      <c r="I27">
        <v>4</v>
      </c>
      <c r="J27">
        <v>2</v>
      </c>
      <c r="K27">
        <v>4</v>
      </c>
      <c r="L27">
        <v>4</v>
      </c>
      <c r="M27">
        <v>4</v>
      </c>
      <c r="N27">
        <v>3</v>
      </c>
      <c r="O27">
        <v>4</v>
      </c>
      <c r="P27">
        <v>4</v>
      </c>
      <c r="Q27">
        <v>5</v>
      </c>
      <c r="R27">
        <v>5</v>
      </c>
      <c r="S27">
        <v>4</v>
      </c>
      <c r="T27">
        <v>5</v>
      </c>
      <c r="U27">
        <v>5</v>
      </c>
      <c r="V27">
        <v>2</v>
      </c>
      <c r="W27">
        <v>2</v>
      </c>
      <c r="X27">
        <v>4</v>
      </c>
      <c r="Y27">
        <v>4</v>
      </c>
      <c r="Z27">
        <v>3</v>
      </c>
      <c r="AA27">
        <v>4</v>
      </c>
      <c r="AB27">
        <v>2</v>
      </c>
      <c r="AC27">
        <v>3</v>
      </c>
      <c r="AD27">
        <v>3</v>
      </c>
      <c r="AE27">
        <v>1</v>
      </c>
      <c r="AF27">
        <v>2</v>
      </c>
      <c r="AG27">
        <v>1</v>
      </c>
      <c r="AH27">
        <v>3</v>
      </c>
      <c r="AI27">
        <v>4</v>
      </c>
      <c r="AJ27">
        <v>5</v>
      </c>
      <c r="AK27">
        <v>5</v>
      </c>
      <c r="AL27">
        <v>4</v>
      </c>
      <c r="AM27">
        <v>4</v>
      </c>
      <c r="AN27">
        <v>5</v>
      </c>
      <c r="AO27">
        <v>4</v>
      </c>
      <c r="AP27">
        <v>5</v>
      </c>
      <c r="AQ27">
        <v>4</v>
      </c>
      <c r="AR27">
        <v>5</v>
      </c>
      <c r="AS27">
        <v>5</v>
      </c>
      <c r="AT27">
        <v>4</v>
      </c>
    </row>
    <row r="28" spans="1:46" x14ac:dyDescent="0.3">
      <c r="A28">
        <v>3</v>
      </c>
      <c r="B28">
        <v>2</v>
      </c>
      <c r="C28">
        <v>2</v>
      </c>
      <c r="D28">
        <v>2</v>
      </c>
      <c r="E28">
        <v>4</v>
      </c>
      <c r="F28">
        <v>3</v>
      </c>
      <c r="G28">
        <v>5</v>
      </c>
      <c r="H28">
        <v>5</v>
      </c>
      <c r="I28">
        <v>5</v>
      </c>
      <c r="J28">
        <v>3</v>
      </c>
      <c r="K28">
        <v>5</v>
      </c>
      <c r="L28">
        <v>5</v>
      </c>
      <c r="M28">
        <v>4</v>
      </c>
      <c r="N28">
        <v>4</v>
      </c>
      <c r="O28">
        <v>5</v>
      </c>
      <c r="P28">
        <v>5</v>
      </c>
      <c r="Q28">
        <v>5</v>
      </c>
      <c r="R28">
        <v>5</v>
      </c>
      <c r="S28">
        <v>1</v>
      </c>
      <c r="T28">
        <v>5</v>
      </c>
      <c r="U28">
        <v>5</v>
      </c>
      <c r="V28">
        <v>4</v>
      </c>
      <c r="W28">
        <v>2</v>
      </c>
      <c r="X28">
        <v>5</v>
      </c>
      <c r="Y28">
        <v>5</v>
      </c>
      <c r="Z28">
        <v>3</v>
      </c>
      <c r="AA28">
        <v>5</v>
      </c>
      <c r="AB28">
        <v>5</v>
      </c>
      <c r="AC28">
        <v>5</v>
      </c>
      <c r="AD28">
        <v>5</v>
      </c>
      <c r="AE28">
        <v>5</v>
      </c>
      <c r="AF28">
        <v>5</v>
      </c>
      <c r="AG28">
        <v>1</v>
      </c>
      <c r="AH28">
        <v>2</v>
      </c>
      <c r="AI28">
        <v>3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1</v>
      </c>
      <c r="AP28">
        <v>5</v>
      </c>
      <c r="AQ28">
        <v>5</v>
      </c>
      <c r="AR28">
        <v>4</v>
      </c>
      <c r="AS28">
        <v>5</v>
      </c>
      <c r="AT28">
        <v>5</v>
      </c>
    </row>
    <row r="29" spans="1:46" x14ac:dyDescent="0.3">
      <c r="A29">
        <v>3</v>
      </c>
      <c r="B29">
        <v>2</v>
      </c>
      <c r="C29">
        <v>1</v>
      </c>
      <c r="D29">
        <v>2</v>
      </c>
      <c r="E29">
        <v>1</v>
      </c>
      <c r="F29">
        <v>2</v>
      </c>
      <c r="G29">
        <v>1</v>
      </c>
      <c r="H29">
        <v>5</v>
      </c>
      <c r="I29">
        <v>4</v>
      </c>
      <c r="J29">
        <v>3</v>
      </c>
      <c r="K29">
        <v>5</v>
      </c>
      <c r="L29">
        <v>3</v>
      </c>
      <c r="M29">
        <v>4</v>
      </c>
      <c r="N29">
        <v>5</v>
      </c>
      <c r="O29">
        <v>1</v>
      </c>
      <c r="P29">
        <v>3</v>
      </c>
      <c r="Q29">
        <v>4</v>
      </c>
      <c r="R29">
        <v>4</v>
      </c>
      <c r="S29">
        <v>3</v>
      </c>
      <c r="T29">
        <v>4</v>
      </c>
      <c r="U29">
        <v>4</v>
      </c>
      <c r="V29">
        <v>4</v>
      </c>
      <c r="W29">
        <v>4</v>
      </c>
      <c r="X29">
        <v>4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2</v>
      </c>
      <c r="AH29">
        <v>3</v>
      </c>
      <c r="AI29">
        <v>4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4</v>
      </c>
      <c r="AQ29">
        <v>5</v>
      </c>
      <c r="AR29">
        <v>4</v>
      </c>
      <c r="AS29">
        <v>4</v>
      </c>
      <c r="AT29">
        <v>5</v>
      </c>
    </row>
    <row r="30" spans="1:46" x14ac:dyDescent="0.3">
      <c r="A30">
        <v>3</v>
      </c>
      <c r="B30">
        <v>2</v>
      </c>
      <c r="C30">
        <v>2</v>
      </c>
      <c r="D30">
        <v>2</v>
      </c>
      <c r="E30">
        <v>2</v>
      </c>
      <c r="F30">
        <v>2</v>
      </c>
      <c r="G30">
        <v>5</v>
      </c>
      <c r="H30">
        <v>2</v>
      </c>
      <c r="I30">
        <v>5</v>
      </c>
      <c r="J30">
        <v>5</v>
      </c>
      <c r="K30">
        <v>5</v>
      </c>
      <c r="L30">
        <v>5</v>
      </c>
      <c r="M30">
        <v>3</v>
      </c>
      <c r="N30">
        <v>4</v>
      </c>
      <c r="O30">
        <v>5</v>
      </c>
      <c r="P30">
        <v>5</v>
      </c>
      <c r="Q30">
        <v>4</v>
      </c>
      <c r="R30">
        <v>5</v>
      </c>
      <c r="S30">
        <v>4</v>
      </c>
      <c r="T30">
        <v>5</v>
      </c>
      <c r="U30">
        <v>5</v>
      </c>
      <c r="V30">
        <v>2</v>
      </c>
      <c r="W30">
        <v>2</v>
      </c>
      <c r="X30">
        <v>3</v>
      </c>
      <c r="Y30">
        <v>5</v>
      </c>
      <c r="Z30">
        <v>3</v>
      </c>
      <c r="AA30">
        <v>4</v>
      </c>
      <c r="AB30">
        <v>3</v>
      </c>
      <c r="AC30">
        <v>3</v>
      </c>
      <c r="AD30">
        <v>5</v>
      </c>
      <c r="AE30">
        <v>4</v>
      </c>
      <c r="AF30">
        <v>4</v>
      </c>
      <c r="AG30">
        <v>3</v>
      </c>
      <c r="AH30">
        <v>5</v>
      </c>
      <c r="AI30">
        <v>5</v>
      </c>
      <c r="AJ30">
        <v>5</v>
      </c>
      <c r="AK30">
        <v>5</v>
      </c>
      <c r="AL30">
        <v>4</v>
      </c>
      <c r="AM30">
        <v>4</v>
      </c>
      <c r="AN30">
        <v>5</v>
      </c>
      <c r="AO30">
        <v>3</v>
      </c>
      <c r="AP30">
        <v>4</v>
      </c>
      <c r="AQ30">
        <v>4</v>
      </c>
      <c r="AR30">
        <v>4</v>
      </c>
      <c r="AS30">
        <v>5</v>
      </c>
      <c r="AT30">
        <v>5</v>
      </c>
    </row>
    <row r="31" spans="1:46" x14ac:dyDescent="0.3">
      <c r="A31">
        <v>5</v>
      </c>
      <c r="B31">
        <v>2</v>
      </c>
      <c r="C31">
        <v>2</v>
      </c>
      <c r="D31">
        <v>5</v>
      </c>
      <c r="E31">
        <v>2</v>
      </c>
      <c r="F31">
        <v>2</v>
      </c>
      <c r="G31">
        <v>2</v>
      </c>
      <c r="H31">
        <v>2</v>
      </c>
      <c r="I31">
        <v>4</v>
      </c>
      <c r="J31">
        <v>1</v>
      </c>
      <c r="K31">
        <v>2</v>
      </c>
      <c r="L31">
        <v>2</v>
      </c>
      <c r="M31">
        <v>2</v>
      </c>
      <c r="N31">
        <v>4</v>
      </c>
      <c r="O31">
        <v>4</v>
      </c>
      <c r="P31">
        <v>4</v>
      </c>
      <c r="Q31">
        <v>1</v>
      </c>
      <c r="R31">
        <v>5</v>
      </c>
      <c r="S31">
        <v>5</v>
      </c>
      <c r="T31">
        <v>2</v>
      </c>
      <c r="U31">
        <v>2</v>
      </c>
      <c r="V31">
        <v>2</v>
      </c>
      <c r="W31">
        <v>2</v>
      </c>
      <c r="X31">
        <v>1</v>
      </c>
      <c r="Y31">
        <v>2</v>
      </c>
      <c r="Z31">
        <v>2</v>
      </c>
      <c r="AA31">
        <v>1</v>
      </c>
      <c r="AB31">
        <v>1</v>
      </c>
      <c r="AC31">
        <v>2</v>
      </c>
      <c r="AD31">
        <v>1</v>
      </c>
      <c r="AE31">
        <v>1</v>
      </c>
      <c r="AF31">
        <v>1</v>
      </c>
      <c r="AG31">
        <v>3</v>
      </c>
      <c r="AH31">
        <v>4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2</v>
      </c>
      <c r="AP31">
        <v>2</v>
      </c>
      <c r="AQ31">
        <v>1</v>
      </c>
      <c r="AR31">
        <v>4</v>
      </c>
      <c r="AS31">
        <v>1</v>
      </c>
      <c r="AT31">
        <v>1</v>
      </c>
    </row>
    <row r="32" spans="1:46" x14ac:dyDescent="0.3">
      <c r="A32">
        <v>6</v>
      </c>
      <c r="B32">
        <v>2</v>
      </c>
      <c r="C32">
        <v>1</v>
      </c>
      <c r="D32">
        <v>5</v>
      </c>
      <c r="E32">
        <v>1</v>
      </c>
      <c r="F32">
        <v>1</v>
      </c>
      <c r="G32">
        <v>5</v>
      </c>
      <c r="H32">
        <v>4</v>
      </c>
      <c r="I32">
        <v>5</v>
      </c>
      <c r="J32">
        <v>5</v>
      </c>
      <c r="K32">
        <v>5</v>
      </c>
      <c r="L32">
        <v>4</v>
      </c>
      <c r="M32">
        <v>5</v>
      </c>
      <c r="N32">
        <v>5</v>
      </c>
      <c r="O32">
        <v>4</v>
      </c>
      <c r="P32">
        <v>5</v>
      </c>
      <c r="Q32">
        <v>4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4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5</v>
      </c>
      <c r="AK32">
        <v>5</v>
      </c>
      <c r="AL32">
        <v>4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4</v>
      </c>
      <c r="AS32">
        <v>5</v>
      </c>
      <c r="AT32">
        <v>5</v>
      </c>
    </row>
    <row r="33" spans="1:46" x14ac:dyDescent="0.3">
      <c r="A33">
        <v>3</v>
      </c>
      <c r="B33">
        <v>2</v>
      </c>
      <c r="C33">
        <v>2</v>
      </c>
      <c r="D33">
        <v>2</v>
      </c>
      <c r="E33">
        <v>2</v>
      </c>
      <c r="F33">
        <v>2</v>
      </c>
      <c r="G33">
        <v>3</v>
      </c>
      <c r="H33">
        <v>5</v>
      </c>
      <c r="I33">
        <v>4</v>
      </c>
      <c r="J33">
        <v>3</v>
      </c>
      <c r="K33">
        <v>4</v>
      </c>
      <c r="L33">
        <v>3</v>
      </c>
      <c r="M33">
        <v>4</v>
      </c>
      <c r="N33">
        <v>5</v>
      </c>
      <c r="O33">
        <v>5</v>
      </c>
      <c r="P33">
        <v>3</v>
      </c>
      <c r="Q33">
        <v>3</v>
      </c>
      <c r="R33">
        <v>3</v>
      </c>
      <c r="S33">
        <v>4</v>
      </c>
      <c r="T33">
        <v>4</v>
      </c>
      <c r="U33">
        <v>4</v>
      </c>
      <c r="V33">
        <v>4</v>
      </c>
      <c r="W33">
        <v>2</v>
      </c>
      <c r="X33">
        <v>4</v>
      </c>
      <c r="Y33">
        <v>3</v>
      </c>
      <c r="Z33">
        <v>4</v>
      </c>
      <c r="AA33">
        <v>3</v>
      </c>
      <c r="AB33">
        <v>2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4</v>
      </c>
      <c r="AK33">
        <v>5</v>
      </c>
      <c r="AL33">
        <v>5</v>
      </c>
      <c r="AM33">
        <v>5</v>
      </c>
      <c r="AN33">
        <v>5</v>
      </c>
      <c r="AO33">
        <v>2</v>
      </c>
      <c r="AP33">
        <v>4</v>
      </c>
      <c r="AQ33">
        <v>5</v>
      </c>
      <c r="AR33">
        <v>4</v>
      </c>
      <c r="AS33">
        <v>5</v>
      </c>
      <c r="AT33">
        <v>5</v>
      </c>
    </row>
    <row r="34" spans="1:46" x14ac:dyDescent="0.3">
      <c r="A34">
        <v>3</v>
      </c>
      <c r="B34">
        <v>2</v>
      </c>
      <c r="C34">
        <v>2</v>
      </c>
      <c r="D34">
        <v>1</v>
      </c>
      <c r="E34">
        <v>2</v>
      </c>
      <c r="F34">
        <v>2</v>
      </c>
      <c r="G34">
        <v>5</v>
      </c>
      <c r="H34">
        <v>4</v>
      </c>
      <c r="I34">
        <v>4</v>
      </c>
      <c r="J34">
        <v>3</v>
      </c>
      <c r="K34">
        <v>5</v>
      </c>
      <c r="L34">
        <v>4</v>
      </c>
      <c r="M34">
        <v>5</v>
      </c>
      <c r="N34">
        <v>5</v>
      </c>
      <c r="O34">
        <v>4</v>
      </c>
      <c r="P34">
        <v>4</v>
      </c>
      <c r="Q34">
        <v>4</v>
      </c>
      <c r="R34">
        <v>5</v>
      </c>
      <c r="S34">
        <v>5</v>
      </c>
      <c r="T34">
        <v>4</v>
      </c>
      <c r="U34">
        <v>4</v>
      </c>
      <c r="V34">
        <v>3</v>
      </c>
      <c r="W34">
        <v>2</v>
      </c>
      <c r="X34">
        <v>5</v>
      </c>
      <c r="Y34">
        <v>4</v>
      </c>
      <c r="Z34">
        <v>5</v>
      </c>
      <c r="AA34">
        <v>3</v>
      </c>
      <c r="AB34">
        <v>1</v>
      </c>
      <c r="AC34">
        <v>3</v>
      </c>
      <c r="AD34">
        <v>2</v>
      </c>
      <c r="AE34">
        <v>2</v>
      </c>
      <c r="AF34">
        <v>2</v>
      </c>
      <c r="AG34">
        <v>2</v>
      </c>
      <c r="AH34">
        <v>1</v>
      </c>
      <c r="AI34">
        <v>4</v>
      </c>
      <c r="AJ34">
        <v>4</v>
      </c>
      <c r="AK34">
        <v>5</v>
      </c>
      <c r="AL34">
        <v>5</v>
      </c>
      <c r="AM34">
        <v>4</v>
      </c>
      <c r="AN34">
        <v>5</v>
      </c>
      <c r="AO34">
        <v>2</v>
      </c>
      <c r="AP34">
        <v>5</v>
      </c>
      <c r="AQ34">
        <v>4</v>
      </c>
      <c r="AR34">
        <v>3</v>
      </c>
      <c r="AS34">
        <v>5</v>
      </c>
      <c r="AT34">
        <v>5</v>
      </c>
    </row>
    <row r="35" spans="1:46" x14ac:dyDescent="0.3">
      <c r="A35">
        <v>5</v>
      </c>
      <c r="B35">
        <v>2</v>
      </c>
      <c r="C35">
        <v>3</v>
      </c>
      <c r="D35">
        <v>5</v>
      </c>
      <c r="E35">
        <v>4</v>
      </c>
      <c r="F35">
        <v>1</v>
      </c>
      <c r="G35">
        <v>4</v>
      </c>
      <c r="H35">
        <v>5</v>
      </c>
      <c r="I35">
        <v>5</v>
      </c>
      <c r="J35">
        <v>4</v>
      </c>
      <c r="K35">
        <v>3</v>
      </c>
      <c r="L35">
        <v>4</v>
      </c>
      <c r="M35">
        <v>3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4</v>
      </c>
      <c r="U35">
        <v>5</v>
      </c>
      <c r="V35">
        <v>2</v>
      </c>
      <c r="W35">
        <v>4</v>
      </c>
      <c r="X35">
        <v>5</v>
      </c>
      <c r="Y35">
        <v>1</v>
      </c>
      <c r="Z35">
        <v>4</v>
      </c>
      <c r="AA35">
        <v>5</v>
      </c>
      <c r="AB35">
        <v>2</v>
      </c>
      <c r="AC35">
        <v>4</v>
      </c>
      <c r="AD35">
        <v>2</v>
      </c>
      <c r="AE35">
        <v>3</v>
      </c>
      <c r="AF35">
        <v>4</v>
      </c>
      <c r="AG35">
        <v>2</v>
      </c>
      <c r="AH35">
        <v>4</v>
      </c>
      <c r="AI35">
        <v>4</v>
      </c>
      <c r="AJ35">
        <v>4</v>
      </c>
      <c r="AK35">
        <v>5</v>
      </c>
      <c r="AL35">
        <v>4</v>
      </c>
      <c r="AM35">
        <v>4</v>
      </c>
      <c r="AN35">
        <v>4</v>
      </c>
      <c r="AO35">
        <v>2</v>
      </c>
      <c r="AP35">
        <v>4</v>
      </c>
      <c r="AQ35">
        <v>4</v>
      </c>
      <c r="AR35">
        <v>4</v>
      </c>
      <c r="AS35">
        <v>4</v>
      </c>
      <c r="AT35">
        <v>5</v>
      </c>
    </row>
    <row r="36" spans="1:46" x14ac:dyDescent="0.3">
      <c r="A36">
        <v>5</v>
      </c>
      <c r="B36">
        <v>2</v>
      </c>
      <c r="C36">
        <v>2</v>
      </c>
      <c r="D36">
        <v>5</v>
      </c>
      <c r="E36">
        <v>2</v>
      </c>
      <c r="F36">
        <v>2</v>
      </c>
      <c r="G36">
        <v>4</v>
      </c>
      <c r="H36">
        <v>5</v>
      </c>
      <c r="I36">
        <v>4</v>
      </c>
      <c r="J36">
        <v>3</v>
      </c>
      <c r="K36">
        <v>5</v>
      </c>
      <c r="L36">
        <v>4</v>
      </c>
      <c r="M36">
        <v>3</v>
      </c>
      <c r="N36">
        <v>4</v>
      </c>
      <c r="O36">
        <v>4</v>
      </c>
      <c r="P36">
        <v>4</v>
      </c>
      <c r="Q36">
        <v>4</v>
      </c>
      <c r="R36">
        <v>3</v>
      </c>
      <c r="S36">
        <v>4</v>
      </c>
      <c r="T36">
        <v>4</v>
      </c>
      <c r="U36">
        <v>5</v>
      </c>
      <c r="V36">
        <v>4</v>
      </c>
      <c r="W36">
        <v>4</v>
      </c>
      <c r="X36">
        <v>5</v>
      </c>
      <c r="Y36">
        <v>5</v>
      </c>
      <c r="Z36">
        <v>5</v>
      </c>
      <c r="AA36">
        <v>4</v>
      </c>
      <c r="AB36">
        <v>3</v>
      </c>
      <c r="AC36">
        <v>4</v>
      </c>
      <c r="AD36">
        <v>3</v>
      </c>
      <c r="AE36">
        <v>3</v>
      </c>
      <c r="AF36">
        <v>3</v>
      </c>
      <c r="AG36">
        <v>4</v>
      </c>
      <c r="AH36">
        <v>4</v>
      </c>
      <c r="AI36">
        <v>4</v>
      </c>
      <c r="AJ36">
        <v>4</v>
      </c>
      <c r="AK36">
        <v>4</v>
      </c>
      <c r="AL36">
        <v>4</v>
      </c>
      <c r="AM36">
        <v>4</v>
      </c>
      <c r="AN36">
        <v>4</v>
      </c>
      <c r="AO36">
        <v>2</v>
      </c>
      <c r="AP36">
        <v>3</v>
      </c>
      <c r="AQ36">
        <v>4</v>
      </c>
      <c r="AR36">
        <v>3</v>
      </c>
      <c r="AS36">
        <v>4</v>
      </c>
      <c r="AT36">
        <v>4</v>
      </c>
    </row>
    <row r="37" spans="1:46" x14ac:dyDescent="0.3">
      <c r="A37">
        <v>5</v>
      </c>
      <c r="B37">
        <v>2</v>
      </c>
      <c r="C37">
        <v>2</v>
      </c>
      <c r="D37">
        <v>4</v>
      </c>
      <c r="E37">
        <v>4</v>
      </c>
      <c r="F37">
        <v>1</v>
      </c>
      <c r="G37">
        <v>5</v>
      </c>
      <c r="H37">
        <v>4</v>
      </c>
      <c r="I37">
        <v>4</v>
      </c>
      <c r="J37">
        <v>5</v>
      </c>
      <c r="K37">
        <v>4</v>
      </c>
      <c r="L37">
        <v>2</v>
      </c>
      <c r="M37">
        <v>3</v>
      </c>
      <c r="N37">
        <v>5</v>
      </c>
      <c r="O37">
        <v>4</v>
      </c>
      <c r="P37">
        <v>4</v>
      </c>
      <c r="Q37">
        <v>4</v>
      </c>
      <c r="R37">
        <v>5</v>
      </c>
      <c r="S37">
        <v>4</v>
      </c>
      <c r="T37">
        <v>3</v>
      </c>
      <c r="U37">
        <v>2</v>
      </c>
      <c r="V37">
        <v>2</v>
      </c>
      <c r="W37">
        <v>4</v>
      </c>
      <c r="X37">
        <v>3</v>
      </c>
      <c r="Y37">
        <v>4</v>
      </c>
      <c r="Z37">
        <v>4</v>
      </c>
      <c r="AA37">
        <v>2</v>
      </c>
      <c r="AB37">
        <v>4</v>
      </c>
      <c r="AC37">
        <v>2</v>
      </c>
      <c r="AD37">
        <v>4</v>
      </c>
      <c r="AE37">
        <v>5</v>
      </c>
      <c r="AF37">
        <v>5</v>
      </c>
      <c r="AG37">
        <v>2</v>
      </c>
      <c r="AH37">
        <v>5</v>
      </c>
      <c r="AI37">
        <v>4</v>
      </c>
      <c r="AJ37">
        <v>2</v>
      </c>
      <c r="AK37">
        <v>2</v>
      </c>
      <c r="AL37">
        <v>4</v>
      </c>
      <c r="AM37">
        <v>2</v>
      </c>
      <c r="AN37">
        <v>4</v>
      </c>
      <c r="AO37">
        <v>4</v>
      </c>
      <c r="AP37">
        <v>2</v>
      </c>
      <c r="AQ37">
        <v>1</v>
      </c>
      <c r="AR37">
        <v>4</v>
      </c>
      <c r="AS37">
        <v>2</v>
      </c>
      <c r="AT37">
        <v>4</v>
      </c>
    </row>
    <row r="38" spans="1:46" x14ac:dyDescent="0.3">
      <c r="A38">
        <v>3</v>
      </c>
      <c r="B38">
        <v>2</v>
      </c>
      <c r="C38">
        <v>1</v>
      </c>
      <c r="D38">
        <v>2</v>
      </c>
      <c r="E38">
        <v>1</v>
      </c>
      <c r="F38">
        <v>2</v>
      </c>
      <c r="G38">
        <v>5</v>
      </c>
      <c r="H38">
        <v>5</v>
      </c>
      <c r="I38">
        <v>5</v>
      </c>
      <c r="J38">
        <v>3</v>
      </c>
      <c r="K38">
        <v>4</v>
      </c>
      <c r="L38">
        <v>3</v>
      </c>
      <c r="M38">
        <v>2</v>
      </c>
      <c r="N38">
        <v>4</v>
      </c>
      <c r="O38">
        <v>4</v>
      </c>
      <c r="P38">
        <v>4</v>
      </c>
      <c r="Q38">
        <v>4</v>
      </c>
      <c r="R38">
        <v>5</v>
      </c>
      <c r="S38">
        <v>5</v>
      </c>
      <c r="T38">
        <v>5</v>
      </c>
      <c r="U38">
        <v>5</v>
      </c>
      <c r="V38">
        <v>3</v>
      </c>
      <c r="W38">
        <v>4</v>
      </c>
      <c r="X38">
        <v>5</v>
      </c>
      <c r="Y38">
        <v>3</v>
      </c>
      <c r="Z38">
        <v>3</v>
      </c>
      <c r="AA38">
        <v>3</v>
      </c>
      <c r="AB38">
        <v>2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5</v>
      </c>
      <c r="AI38">
        <v>3</v>
      </c>
      <c r="AJ38">
        <v>4</v>
      </c>
      <c r="AK38">
        <v>4</v>
      </c>
      <c r="AL38">
        <v>4</v>
      </c>
      <c r="AM38">
        <v>4</v>
      </c>
      <c r="AN38">
        <v>4</v>
      </c>
      <c r="AO38">
        <v>2</v>
      </c>
      <c r="AP38">
        <v>4</v>
      </c>
      <c r="AQ38">
        <v>4</v>
      </c>
      <c r="AR38">
        <v>2</v>
      </c>
      <c r="AS38">
        <v>4</v>
      </c>
      <c r="AT38">
        <v>5</v>
      </c>
    </row>
    <row r="39" spans="1:46" x14ac:dyDescent="0.3">
      <c r="A39">
        <v>6</v>
      </c>
      <c r="B39">
        <v>2</v>
      </c>
      <c r="C39">
        <v>1</v>
      </c>
      <c r="D39">
        <v>5</v>
      </c>
      <c r="E39">
        <v>2</v>
      </c>
      <c r="F39">
        <v>2</v>
      </c>
      <c r="G39">
        <v>5</v>
      </c>
      <c r="H39">
        <v>4</v>
      </c>
      <c r="I39">
        <v>4</v>
      </c>
      <c r="J39">
        <v>5</v>
      </c>
      <c r="K39">
        <v>5</v>
      </c>
      <c r="L39">
        <v>5</v>
      </c>
      <c r="M39">
        <v>4</v>
      </c>
      <c r="N39">
        <v>4</v>
      </c>
      <c r="O39">
        <v>5</v>
      </c>
      <c r="P39">
        <v>4</v>
      </c>
      <c r="Q39">
        <v>5</v>
      </c>
      <c r="R39">
        <v>4</v>
      </c>
      <c r="S39">
        <v>4</v>
      </c>
      <c r="T39">
        <v>3</v>
      </c>
      <c r="U39">
        <v>5</v>
      </c>
      <c r="V39">
        <v>5</v>
      </c>
      <c r="W39">
        <v>3</v>
      </c>
      <c r="X39">
        <v>5</v>
      </c>
      <c r="Y39">
        <v>4</v>
      </c>
      <c r="Z39">
        <v>4</v>
      </c>
      <c r="AA39">
        <v>4</v>
      </c>
      <c r="AB39">
        <v>5</v>
      </c>
      <c r="AC39">
        <v>5</v>
      </c>
      <c r="AD39">
        <v>4</v>
      </c>
      <c r="AE39">
        <v>4</v>
      </c>
      <c r="AF39">
        <v>5</v>
      </c>
      <c r="AG39">
        <v>4</v>
      </c>
      <c r="AH39">
        <v>5</v>
      </c>
      <c r="AI39">
        <v>5</v>
      </c>
      <c r="AJ39">
        <v>4</v>
      </c>
      <c r="AK39">
        <v>4</v>
      </c>
      <c r="AL39">
        <v>5</v>
      </c>
      <c r="AM39">
        <v>4</v>
      </c>
      <c r="AN39">
        <v>5</v>
      </c>
      <c r="AO39">
        <v>5</v>
      </c>
      <c r="AP39">
        <v>4</v>
      </c>
      <c r="AQ39">
        <v>5</v>
      </c>
      <c r="AR39">
        <v>5</v>
      </c>
      <c r="AS39">
        <v>5</v>
      </c>
      <c r="AT39">
        <v>4</v>
      </c>
    </row>
    <row r="40" spans="1:46" x14ac:dyDescent="0.3">
      <c r="A40">
        <v>5</v>
      </c>
      <c r="B40">
        <v>2</v>
      </c>
      <c r="C40">
        <v>3</v>
      </c>
      <c r="D40">
        <v>5</v>
      </c>
      <c r="E40">
        <v>4</v>
      </c>
      <c r="F40">
        <v>2</v>
      </c>
      <c r="G40">
        <v>5</v>
      </c>
      <c r="H40">
        <v>5</v>
      </c>
      <c r="I40">
        <v>5</v>
      </c>
      <c r="J40">
        <v>3</v>
      </c>
      <c r="K40">
        <v>4</v>
      </c>
      <c r="L40">
        <v>4</v>
      </c>
      <c r="M40">
        <v>4</v>
      </c>
      <c r="N40">
        <v>5</v>
      </c>
      <c r="O40">
        <v>5</v>
      </c>
      <c r="P40">
        <v>5</v>
      </c>
      <c r="Q40">
        <v>5</v>
      </c>
      <c r="R40">
        <v>5</v>
      </c>
      <c r="S40">
        <v>3</v>
      </c>
      <c r="T40">
        <v>5</v>
      </c>
      <c r="U40">
        <v>5</v>
      </c>
      <c r="V40">
        <v>2</v>
      </c>
      <c r="W40">
        <v>3</v>
      </c>
      <c r="X40">
        <v>4</v>
      </c>
      <c r="Y40">
        <v>4</v>
      </c>
      <c r="Z40">
        <v>2</v>
      </c>
      <c r="AA40">
        <v>5</v>
      </c>
      <c r="AB40">
        <v>1</v>
      </c>
      <c r="AC40">
        <v>3</v>
      </c>
      <c r="AD40">
        <v>4</v>
      </c>
      <c r="AE40">
        <v>3</v>
      </c>
      <c r="AF40">
        <v>4</v>
      </c>
      <c r="AG40">
        <v>1</v>
      </c>
      <c r="AH40">
        <v>3</v>
      </c>
      <c r="AI40">
        <v>4</v>
      </c>
      <c r="AJ40">
        <v>5</v>
      </c>
      <c r="AK40">
        <v>4</v>
      </c>
      <c r="AL40">
        <v>4</v>
      </c>
      <c r="AM40">
        <v>4</v>
      </c>
      <c r="AN40">
        <v>5</v>
      </c>
      <c r="AO40">
        <v>1</v>
      </c>
      <c r="AP40">
        <v>4</v>
      </c>
      <c r="AQ40">
        <v>4</v>
      </c>
      <c r="AR40">
        <v>3</v>
      </c>
      <c r="AS40">
        <v>4</v>
      </c>
      <c r="AT40">
        <v>4</v>
      </c>
    </row>
    <row r="41" spans="1:46" x14ac:dyDescent="0.3">
      <c r="A41">
        <v>3</v>
      </c>
      <c r="B41">
        <v>2</v>
      </c>
      <c r="C41">
        <v>2</v>
      </c>
      <c r="D41">
        <v>2</v>
      </c>
      <c r="E41">
        <v>2</v>
      </c>
      <c r="F41">
        <v>3</v>
      </c>
      <c r="G41">
        <v>2</v>
      </c>
      <c r="H41">
        <v>2</v>
      </c>
      <c r="I41">
        <v>4</v>
      </c>
      <c r="J41">
        <v>2</v>
      </c>
      <c r="K41">
        <v>4</v>
      </c>
      <c r="L41">
        <v>5</v>
      </c>
      <c r="M41">
        <v>5</v>
      </c>
      <c r="N41">
        <v>5</v>
      </c>
      <c r="O41">
        <v>5</v>
      </c>
      <c r="P41">
        <v>4</v>
      </c>
      <c r="Q41">
        <v>3</v>
      </c>
      <c r="R41">
        <v>4</v>
      </c>
      <c r="S41">
        <v>5</v>
      </c>
      <c r="T41">
        <v>4</v>
      </c>
      <c r="U41">
        <v>5</v>
      </c>
      <c r="V41">
        <v>4</v>
      </c>
      <c r="W41">
        <v>4</v>
      </c>
      <c r="X41">
        <v>2</v>
      </c>
      <c r="Y41">
        <v>5</v>
      </c>
      <c r="Z41">
        <v>3</v>
      </c>
      <c r="AA41">
        <v>4</v>
      </c>
      <c r="AB41">
        <v>2</v>
      </c>
      <c r="AC41">
        <v>4</v>
      </c>
      <c r="AD41">
        <v>3</v>
      </c>
      <c r="AE41">
        <v>2</v>
      </c>
      <c r="AF41">
        <v>5</v>
      </c>
      <c r="AG41">
        <v>4</v>
      </c>
      <c r="AH41">
        <v>5</v>
      </c>
      <c r="AI41">
        <v>5</v>
      </c>
      <c r="AJ41">
        <v>5</v>
      </c>
      <c r="AK41">
        <v>5</v>
      </c>
      <c r="AL41">
        <v>3</v>
      </c>
      <c r="AM41">
        <v>5</v>
      </c>
      <c r="AN41">
        <v>5</v>
      </c>
      <c r="AO41">
        <v>4</v>
      </c>
      <c r="AP41">
        <v>4</v>
      </c>
      <c r="AQ41">
        <v>2</v>
      </c>
      <c r="AR41">
        <v>4</v>
      </c>
      <c r="AS41">
        <v>4</v>
      </c>
      <c r="AT41">
        <v>3</v>
      </c>
    </row>
    <row r="42" spans="1:46" x14ac:dyDescent="0.3">
      <c r="A42">
        <v>6</v>
      </c>
      <c r="B42">
        <v>2</v>
      </c>
      <c r="C42">
        <v>1</v>
      </c>
      <c r="D42">
        <v>5</v>
      </c>
      <c r="E42">
        <v>1</v>
      </c>
      <c r="F42">
        <v>1</v>
      </c>
      <c r="G42">
        <v>2</v>
      </c>
      <c r="H42">
        <v>2</v>
      </c>
      <c r="I42">
        <v>4</v>
      </c>
      <c r="J42">
        <v>2</v>
      </c>
      <c r="K42">
        <v>2</v>
      </c>
      <c r="L42">
        <v>2</v>
      </c>
      <c r="M42">
        <v>2</v>
      </c>
      <c r="N42">
        <v>4</v>
      </c>
      <c r="O42">
        <v>4</v>
      </c>
      <c r="P42">
        <v>4</v>
      </c>
      <c r="Q42">
        <v>2</v>
      </c>
      <c r="R42">
        <v>2</v>
      </c>
      <c r="S42">
        <v>2</v>
      </c>
      <c r="T42">
        <v>2</v>
      </c>
      <c r="U42">
        <v>2</v>
      </c>
      <c r="V42">
        <v>4</v>
      </c>
      <c r="W42">
        <v>4</v>
      </c>
      <c r="X42">
        <v>2</v>
      </c>
      <c r="Y42">
        <v>2</v>
      </c>
      <c r="Z42">
        <v>2</v>
      </c>
      <c r="AA42">
        <v>4</v>
      </c>
      <c r="AB42">
        <v>2</v>
      </c>
      <c r="AC42">
        <v>2</v>
      </c>
      <c r="AD42">
        <v>2</v>
      </c>
      <c r="AE42">
        <v>2</v>
      </c>
      <c r="AF42">
        <v>2</v>
      </c>
      <c r="AG42">
        <v>2</v>
      </c>
      <c r="AH42">
        <v>4</v>
      </c>
      <c r="AI42">
        <v>4</v>
      </c>
      <c r="AJ42">
        <v>2</v>
      </c>
      <c r="AK42">
        <v>4</v>
      </c>
      <c r="AL42">
        <v>2</v>
      </c>
      <c r="AM42">
        <v>2</v>
      </c>
      <c r="AN42">
        <v>4</v>
      </c>
      <c r="AO42">
        <v>2</v>
      </c>
      <c r="AP42">
        <v>2</v>
      </c>
      <c r="AQ42">
        <v>4</v>
      </c>
      <c r="AR42">
        <v>2</v>
      </c>
      <c r="AS42">
        <v>4</v>
      </c>
      <c r="AT42">
        <v>2</v>
      </c>
    </row>
    <row r="43" spans="1:46" x14ac:dyDescent="0.3">
      <c r="A43">
        <v>5</v>
      </c>
      <c r="B43">
        <v>2</v>
      </c>
      <c r="C43">
        <v>1</v>
      </c>
      <c r="D43">
        <v>5</v>
      </c>
      <c r="E43">
        <v>1</v>
      </c>
      <c r="F43">
        <v>2</v>
      </c>
      <c r="G43">
        <v>4</v>
      </c>
      <c r="H43">
        <v>4</v>
      </c>
      <c r="I43">
        <v>4</v>
      </c>
      <c r="J43">
        <v>3</v>
      </c>
      <c r="K43">
        <v>5</v>
      </c>
      <c r="L43">
        <v>2</v>
      </c>
      <c r="M43">
        <v>4</v>
      </c>
      <c r="N43">
        <v>2</v>
      </c>
      <c r="O43">
        <v>4</v>
      </c>
      <c r="P43">
        <v>4</v>
      </c>
      <c r="Q43">
        <v>4</v>
      </c>
      <c r="R43">
        <v>2</v>
      </c>
      <c r="S43">
        <v>2</v>
      </c>
      <c r="T43">
        <v>4</v>
      </c>
      <c r="U43">
        <v>4</v>
      </c>
      <c r="V43">
        <v>4</v>
      </c>
      <c r="W43">
        <v>4</v>
      </c>
      <c r="X43">
        <v>4</v>
      </c>
      <c r="Y43">
        <v>2</v>
      </c>
      <c r="Z43">
        <v>4</v>
      </c>
      <c r="AA43">
        <v>2</v>
      </c>
      <c r="AB43">
        <v>2</v>
      </c>
      <c r="AC43">
        <v>4</v>
      </c>
      <c r="AD43">
        <v>4</v>
      </c>
      <c r="AE43">
        <v>2</v>
      </c>
      <c r="AF43">
        <v>3</v>
      </c>
      <c r="AG43">
        <v>2</v>
      </c>
      <c r="AH43">
        <v>2</v>
      </c>
      <c r="AI43">
        <v>5</v>
      </c>
      <c r="AJ43">
        <v>4</v>
      </c>
      <c r="AK43">
        <v>4</v>
      </c>
      <c r="AL43">
        <v>4</v>
      </c>
      <c r="AM43">
        <v>4</v>
      </c>
      <c r="AN43">
        <v>4</v>
      </c>
      <c r="AO43">
        <v>2</v>
      </c>
      <c r="AP43">
        <v>2</v>
      </c>
      <c r="AQ43">
        <v>4</v>
      </c>
      <c r="AR43">
        <v>3</v>
      </c>
      <c r="AS43">
        <v>4</v>
      </c>
      <c r="AT43">
        <v>4</v>
      </c>
    </row>
    <row r="44" spans="1:46" x14ac:dyDescent="0.3">
      <c r="A44">
        <v>5</v>
      </c>
      <c r="B44">
        <v>1</v>
      </c>
      <c r="C44">
        <v>1</v>
      </c>
      <c r="D44">
        <v>5</v>
      </c>
      <c r="E44">
        <v>1</v>
      </c>
      <c r="F44">
        <v>2</v>
      </c>
      <c r="G44">
        <v>4</v>
      </c>
      <c r="H44">
        <v>5</v>
      </c>
      <c r="I44">
        <v>5</v>
      </c>
      <c r="J44">
        <v>3</v>
      </c>
      <c r="K44">
        <v>3</v>
      </c>
      <c r="L44">
        <v>3</v>
      </c>
      <c r="M44">
        <v>3</v>
      </c>
      <c r="N44">
        <v>5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3</v>
      </c>
      <c r="W44">
        <v>4</v>
      </c>
      <c r="X44">
        <v>5</v>
      </c>
      <c r="Y44">
        <v>5</v>
      </c>
      <c r="Z44">
        <v>5</v>
      </c>
      <c r="AA44">
        <v>4</v>
      </c>
      <c r="AB44">
        <v>2</v>
      </c>
      <c r="AC44">
        <v>4</v>
      </c>
      <c r="AD44">
        <v>3</v>
      </c>
      <c r="AE44">
        <v>4</v>
      </c>
      <c r="AF44">
        <v>4</v>
      </c>
      <c r="AG44">
        <v>1</v>
      </c>
      <c r="AH44">
        <v>3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2</v>
      </c>
      <c r="AP44">
        <v>3</v>
      </c>
      <c r="AQ44">
        <v>3</v>
      </c>
      <c r="AR44">
        <v>4</v>
      </c>
      <c r="AS44">
        <v>5</v>
      </c>
      <c r="AT44">
        <v>4</v>
      </c>
    </row>
    <row r="45" spans="1:46" x14ac:dyDescent="0.3">
      <c r="A45">
        <v>5</v>
      </c>
      <c r="B45">
        <v>2</v>
      </c>
      <c r="C45">
        <v>3</v>
      </c>
      <c r="D45">
        <v>5</v>
      </c>
      <c r="E45">
        <v>3</v>
      </c>
      <c r="F45">
        <v>2</v>
      </c>
      <c r="G45">
        <v>3</v>
      </c>
      <c r="H45">
        <v>4</v>
      </c>
      <c r="I45">
        <v>5</v>
      </c>
      <c r="J45">
        <v>2</v>
      </c>
      <c r="K45">
        <v>2</v>
      </c>
      <c r="L45">
        <v>4</v>
      </c>
      <c r="M45">
        <v>3</v>
      </c>
      <c r="N45">
        <v>5</v>
      </c>
      <c r="O45">
        <v>5</v>
      </c>
      <c r="P45">
        <v>5</v>
      </c>
      <c r="Q45">
        <v>4</v>
      </c>
      <c r="R45">
        <v>4</v>
      </c>
      <c r="S45">
        <v>2</v>
      </c>
      <c r="T45">
        <v>4</v>
      </c>
      <c r="U45">
        <v>4</v>
      </c>
      <c r="V45">
        <v>3</v>
      </c>
      <c r="W45">
        <v>4</v>
      </c>
      <c r="X45">
        <v>5</v>
      </c>
      <c r="Y45">
        <v>3</v>
      </c>
      <c r="Z45">
        <v>5</v>
      </c>
      <c r="AA45">
        <v>5</v>
      </c>
      <c r="AB45">
        <v>3</v>
      </c>
      <c r="AC45">
        <v>4</v>
      </c>
      <c r="AD45">
        <v>2</v>
      </c>
      <c r="AE45">
        <v>2</v>
      </c>
      <c r="AF45">
        <v>3</v>
      </c>
      <c r="AG45">
        <v>2</v>
      </c>
      <c r="AH45">
        <v>1</v>
      </c>
      <c r="AI45">
        <v>4</v>
      </c>
      <c r="AJ45">
        <v>5</v>
      </c>
      <c r="AK45">
        <v>5</v>
      </c>
      <c r="AL45">
        <v>3</v>
      </c>
      <c r="AM45">
        <v>3</v>
      </c>
      <c r="AN45">
        <v>5</v>
      </c>
      <c r="AO45">
        <v>1</v>
      </c>
      <c r="AP45">
        <v>3</v>
      </c>
      <c r="AQ45">
        <v>5</v>
      </c>
      <c r="AR45">
        <v>4</v>
      </c>
      <c r="AS45">
        <v>5</v>
      </c>
      <c r="AT45">
        <v>4</v>
      </c>
    </row>
    <row r="46" spans="1:46" x14ac:dyDescent="0.3">
      <c r="A46">
        <v>3</v>
      </c>
      <c r="B46">
        <v>2</v>
      </c>
      <c r="C46">
        <v>2</v>
      </c>
      <c r="D46">
        <v>3</v>
      </c>
      <c r="E46">
        <v>2</v>
      </c>
      <c r="F46">
        <v>2</v>
      </c>
      <c r="G46">
        <v>5</v>
      </c>
      <c r="H46">
        <v>5</v>
      </c>
      <c r="I46">
        <v>5</v>
      </c>
      <c r="J46">
        <v>5</v>
      </c>
      <c r="K46">
        <v>4</v>
      </c>
      <c r="L46">
        <v>5</v>
      </c>
      <c r="M46">
        <v>4</v>
      </c>
      <c r="N46">
        <v>5</v>
      </c>
      <c r="O46">
        <v>4</v>
      </c>
      <c r="P46">
        <v>5</v>
      </c>
      <c r="Q46">
        <v>5</v>
      </c>
      <c r="R46">
        <v>5</v>
      </c>
      <c r="S46">
        <v>5</v>
      </c>
      <c r="T46">
        <v>5</v>
      </c>
      <c r="U46">
        <v>4</v>
      </c>
      <c r="V46">
        <v>4</v>
      </c>
      <c r="W46">
        <v>5</v>
      </c>
      <c r="X46">
        <v>4</v>
      </c>
      <c r="Y46">
        <v>3</v>
      </c>
      <c r="Z46">
        <v>3</v>
      </c>
      <c r="AA46">
        <v>5</v>
      </c>
      <c r="AB46">
        <v>3</v>
      </c>
      <c r="AC46">
        <v>4</v>
      </c>
      <c r="AD46">
        <v>3</v>
      </c>
      <c r="AE46">
        <v>4</v>
      </c>
      <c r="AF46">
        <v>5</v>
      </c>
      <c r="AG46">
        <v>3</v>
      </c>
      <c r="AH46">
        <v>3</v>
      </c>
      <c r="AI46">
        <v>3</v>
      </c>
      <c r="AJ46">
        <v>4</v>
      </c>
      <c r="AK46">
        <v>5</v>
      </c>
      <c r="AL46">
        <v>3</v>
      </c>
      <c r="AM46">
        <v>4</v>
      </c>
      <c r="AN46">
        <v>5</v>
      </c>
      <c r="AO46">
        <v>3</v>
      </c>
      <c r="AP46">
        <v>4</v>
      </c>
      <c r="AQ46">
        <v>4</v>
      </c>
      <c r="AR46">
        <v>3</v>
      </c>
      <c r="AS46">
        <v>5</v>
      </c>
      <c r="AT46">
        <v>5</v>
      </c>
    </row>
    <row r="47" spans="1:46" x14ac:dyDescent="0.3">
      <c r="A47">
        <v>5</v>
      </c>
      <c r="B47">
        <v>2</v>
      </c>
      <c r="C47">
        <v>3</v>
      </c>
      <c r="D47">
        <v>5</v>
      </c>
      <c r="E47">
        <v>3</v>
      </c>
      <c r="F47">
        <v>2</v>
      </c>
      <c r="G47">
        <v>4</v>
      </c>
      <c r="H47">
        <v>5</v>
      </c>
      <c r="I47">
        <v>5</v>
      </c>
      <c r="J47">
        <v>4</v>
      </c>
      <c r="K47">
        <v>4</v>
      </c>
      <c r="L47">
        <v>3</v>
      </c>
      <c r="M47">
        <v>4</v>
      </c>
      <c r="N47">
        <v>5</v>
      </c>
      <c r="O47">
        <v>5</v>
      </c>
      <c r="P47">
        <v>5</v>
      </c>
      <c r="Q47">
        <v>3</v>
      </c>
      <c r="R47">
        <v>5</v>
      </c>
      <c r="S47">
        <v>5</v>
      </c>
      <c r="T47">
        <v>5</v>
      </c>
      <c r="U47">
        <v>5</v>
      </c>
      <c r="V47">
        <v>4</v>
      </c>
      <c r="W47">
        <v>4</v>
      </c>
      <c r="X47">
        <v>5</v>
      </c>
      <c r="Y47">
        <v>5</v>
      </c>
      <c r="Z47">
        <v>4</v>
      </c>
      <c r="AA47">
        <v>4</v>
      </c>
      <c r="AB47">
        <v>2</v>
      </c>
      <c r="AC47">
        <v>2</v>
      </c>
      <c r="AD47">
        <v>3</v>
      </c>
      <c r="AE47">
        <v>4</v>
      </c>
      <c r="AF47">
        <v>4</v>
      </c>
      <c r="AG47">
        <v>1</v>
      </c>
      <c r="AH47">
        <v>3</v>
      </c>
      <c r="AI47">
        <v>4</v>
      </c>
      <c r="AJ47">
        <v>5</v>
      </c>
      <c r="AK47">
        <v>5</v>
      </c>
      <c r="AL47">
        <v>5</v>
      </c>
      <c r="AM47">
        <v>4</v>
      </c>
      <c r="AN47">
        <v>5</v>
      </c>
      <c r="AO47">
        <v>1</v>
      </c>
      <c r="AP47">
        <v>5</v>
      </c>
      <c r="AQ47">
        <v>5</v>
      </c>
      <c r="AR47">
        <v>5</v>
      </c>
      <c r="AS47">
        <v>5</v>
      </c>
      <c r="AT47">
        <v>5</v>
      </c>
    </row>
    <row r="48" spans="1:46" x14ac:dyDescent="0.3">
      <c r="A48">
        <v>3</v>
      </c>
      <c r="B48">
        <v>2</v>
      </c>
      <c r="C48">
        <v>2</v>
      </c>
      <c r="D48">
        <v>2</v>
      </c>
      <c r="E48">
        <v>2</v>
      </c>
      <c r="F48">
        <v>2</v>
      </c>
      <c r="G48">
        <v>3</v>
      </c>
      <c r="H48">
        <v>5</v>
      </c>
      <c r="I48">
        <v>5</v>
      </c>
      <c r="J48">
        <v>3</v>
      </c>
      <c r="K48">
        <v>2</v>
      </c>
      <c r="L48">
        <v>2</v>
      </c>
      <c r="M48">
        <v>3</v>
      </c>
      <c r="N48">
        <v>3</v>
      </c>
      <c r="O48">
        <v>5</v>
      </c>
      <c r="P48">
        <v>4</v>
      </c>
      <c r="Q48">
        <v>3</v>
      </c>
      <c r="R48">
        <v>4</v>
      </c>
      <c r="S48">
        <v>4</v>
      </c>
      <c r="T48">
        <v>3</v>
      </c>
      <c r="U48">
        <v>3</v>
      </c>
      <c r="V48">
        <v>5</v>
      </c>
      <c r="W48">
        <v>5</v>
      </c>
      <c r="X48">
        <v>2</v>
      </c>
      <c r="Y48">
        <v>4</v>
      </c>
      <c r="Z48">
        <v>3</v>
      </c>
      <c r="AA48">
        <v>4</v>
      </c>
      <c r="AB48">
        <v>4</v>
      </c>
      <c r="AC48">
        <v>3</v>
      </c>
      <c r="AD48">
        <v>4</v>
      </c>
      <c r="AE48">
        <v>3</v>
      </c>
      <c r="AF48">
        <v>4</v>
      </c>
      <c r="AG48">
        <v>2</v>
      </c>
      <c r="AH48">
        <v>5</v>
      </c>
      <c r="AI48">
        <v>3</v>
      </c>
      <c r="AJ48">
        <v>3</v>
      </c>
      <c r="AK48">
        <v>4</v>
      </c>
      <c r="AL48">
        <v>3</v>
      </c>
      <c r="AM48">
        <v>5</v>
      </c>
      <c r="AN48">
        <v>5</v>
      </c>
      <c r="AO48">
        <v>3</v>
      </c>
      <c r="AP48">
        <v>3</v>
      </c>
      <c r="AQ48">
        <v>4</v>
      </c>
      <c r="AR48">
        <v>2</v>
      </c>
      <c r="AS48">
        <v>5</v>
      </c>
      <c r="AT48">
        <v>5</v>
      </c>
    </row>
    <row r="49" spans="1:46" x14ac:dyDescent="0.3">
      <c r="A49">
        <v>2</v>
      </c>
      <c r="B49">
        <v>2</v>
      </c>
      <c r="C49">
        <v>1</v>
      </c>
      <c r="D49">
        <v>2</v>
      </c>
      <c r="E49">
        <v>1</v>
      </c>
      <c r="F49">
        <v>2</v>
      </c>
      <c r="G49">
        <v>3</v>
      </c>
      <c r="H49">
        <v>5</v>
      </c>
      <c r="I49">
        <v>4</v>
      </c>
      <c r="J49">
        <v>4</v>
      </c>
      <c r="K49">
        <v>3</v>
      </c>
      <c r="L49">
        <v>4</v>
      </c>
      <c r="M49">
        <v>3</v>
      </c>
      <c r="N49">
        <v>5</v>
      </c>
      <c r="O49">
        <v>5</v>
      </c>
      <c r="P49">
        <v>5</v>
      </c>
      <c r="Q49">
        <v>4</v>
      </c>
      <c r="R49">
        <v>5</v>
      </c>
      <c r="S49">
        <v>5</v>
      </c>
      <c r="T49">
        <v>5</v>
      </c>
      <c r="U49">
        <v>5</v>
      </c>
      <c r="V49">
        <v>4</v>
      </c>
      <c r="W49">
        <v>4</v>
      </c>
      <c r="X49">
        <v>5</v>
      </c>
      <c r="Y49">
        <v>5</v>
      </c>
      <c r="Z49">
        <v>5</v>
      </c>
      <c r="AA49">
        <v>5</v>
      </c>
      <c r="AB49">
        <v>3</v>
      </c>
      <c r="AC49">
        <v>5</v>
      </c>
      <c r="AD49">
        <v>4</v>
      </c>
      <c r="AE49">
        <v>5</v>
      </c>
      <c r="AF49">
        <v>5</v>
      </c>
      <c r="AG49">
        <v>5</v>
      </c>
      <c r="AH49">
        <v>3</v>
      </c>
      <c r="AI49">
        <v>3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4</v>
      </c>
      <c r="AP49">
        <v>4</v>
      </c>
      <c r="AQ49">
        <v>4</v>
      </c>
      <c r="AR49">
        <v>5</v>
      </c>
      <c r="AS49">
        <v>5</v>
      </c>
      <c r="AT49">
        <v>5</v>
      </c>
    </row>
    <row r="50" spans="1:46" x14ac:dyDescent="0.3">
      <c r="A50">
        <v>5</v>
      </c>
      <c r="B50">
        <v>2</v>
      </c>
      <c r="C50">
        <v>2</v>
      </c>
      <c r="D50">
        <v>5</v>
      </c>
      <c r="E50">
        <v>2</v>
      </c>
      <c r="F50">
        <v>3</v>
      </c>
      <c r="G50">
        <v>3</v>
      </c>
      <c r="H50">
        <v>3</v>
      </c>
      <c r="I50">
        <v>3</v>
      </c>
      <c r="J50">
        <v>2</v>
      </c>
      <c r="K50">
        <v>3</v>
      </c>
      <c r="L50">
        <v>3</v>
      </c>
      <c r="M50">
        <v>4</v>
      </c>
      <c r="N50">
        <v>4</v>
      </c>
      <c r="O50">
        <v>3</v>
      </c>
      <c r="P50">
        <v>4</v>
      </c>
      <c r="Q50">
        <v>3</v>
      </c>
      <c r="R50">
        <v>4</v>
      </c>
      <c r="S50">
        <v>2</v>
      </c>
      <c r="T50">
        <v>4</v>
      </c>
      <c r="U50">
        <v>4</v>
      </c>
      <c r="V50">
        <v>3</v>
      </c>
      <c r="W50">
        <v>3</v>
      </c>
      <c r="X50">
        <v>4</v>
      </c>
      <c r="Y50">
        <v>5</v>
      </c>
      <c r="Z50">
        <v>4</v>
      </c>
      <c r="AA50">
        <v>4</v>
      </c>
      <c r="AB50">
        <v>3</v>
      </c>
      <c r="AC50">
        <v>2</v>
      </c>
      <c r="AD50">
        <v>3</v>
      </c>
      <c r="AE50">
        <v>3</v>
      </c>
      <c r="AF50">
        <v>4</v>
      </c>
      <c r="AG50">
        <v>2</v>
      </c>
      <c r="AH50">
        <v>2</v>
      </c>
      <c r="AI50">
        <v>4</v>
      </c>
      <c r="AJ50">
        <v>4</v>
      </c>
      <c r="AK50">
        <v>4</v>
      </c>
      <c r="AL50">
        <v>4</v>
      </c>
      <c r="AM50">
        <v>4</v>
      </c>
      <c r="AN50">
        <v>4</v>
      </c>
      <c r="AO50">
        <v>2</v>
      </c>
      <c r="AP50">
        <v>4</v>
      </c>
      <c r="AQ50">
        <v>4</v>
      </c>
      <c r="AR50">
        <v>3</v>
      </c>
      <c r="AS50">
        <v>4</v>
      </c>
      <c r="AT50">
        <v>4</v>
      </c>
    </row>
    <row r="51" spans="1:46" x14ac:dyDescent="0.3">
      <c r="A51">
        <v>5</v>
      </c>
      <c r="B51">
        <v>2</v>
      </c>
      <c r="C51">
        <v>1</v>
      </c>
      <c r="D51">
        <v>4</v>
      </c>
      <c r="E51">
        <v>1</v>
      </c>
      <c r="F51">
        <v>2</v>
      </c>
      <c r="G51">
        <v>4</v>
      </c>
      <c r="H51">
        <v>3</v>
      </c>
      <c r="I51">
        <v>3</v>
      </c>
      <c r="J51">
        <v>3</v>
      </c>
      <c r="K51">
        <v>3</v>
      </c>
      <c r="L51">
        <v>2</v>
      </c>
      <c r="M51">
        <v>3</v>
      </c>
      <c r="N51">
        <v>3</v>
      </c>
      <c r="O51">
        <v>4</v>
      </c>
      <c r="P51">
        <v>4</v>
      </c>
      <c r="Q51">
        <v>3</v>
      </c>
      <c r="R51">
        <v>3</v>
      </c>
      <c r="S51">
        <v>4</v>
      </c>
      <c r="T51">
        <v>3</v>
      </c>
      <c r="U51">
        <v>3</v>
      </c>
      <c r="V51">
        <v>3</v>
      </c>
      <c r="W51">
        <v>3</v>
      </c>
      <c r="X51">
        <v>3</v>
      </c>
      <c r="Y51">
        <v>3</v>
      </c>
      <c r="Z51">
        <v>3</v>
      </c>
      <c r="AA51">
        <v>4</v>
      </c>
      <c r="AB51">
        <v>4</v>
      </c>
      <c r="AC51">
        <v>3</v>
      </c>
      <c r="AD51">
        <v>3</v>
      </c>
      <c r="AE51">
        <v>4</v>
      </c>
      <c r="AF51">
        <v>4</v>
      </c>
      <c r="AG51">
        <v>3</v>
      </c>
      <c r="AH51">
        <v>4</v>
      </c>
      <c r="AI51">
        <v>4</v>
      </c>
      <c r="AJ51">
        <v>4</v>
      </c>
      <c r="AK51">
        <v>3</v>
      </c>
      <c r="AL51">
        <v>4</v>
      </c>
      <c r="AM51">
        <v>4</v>
      </c>
      <c r="AN51">
        <v>4</v>
      </c>
      <c r="AO51">
        <v>3</v>
      </c>
      <c r="AP51">
        <v>3</v>
      </c>
      <c r="AQ51">
        <v>4</v>
      </c>
      <c r="AR51">
        <v>4</v>
      </c>
      <c r="AS51">
        <v>3</v>
      </c>
      <c r="AT51">
        <v>3</v>
      </c>
    </row>
    <row r="52" spans="1:46" x14ac:dyDescent="0.3">
      <c r="A52">
        <v>3</v>
      </c>
      <c r="B52">
        <v>2</v>
      </c>
      <c r="C52">
        <v>1</v>
      </c>
      <c r="D52">
        <v>2</v>
      </c>
      <c r="E52">
        <v>2</v>
      </c>
      <c r="F52">
        <v>2</v>
      </c>
      <c r="G52">
        <v>3</v>
      </c>
      <c r="H52">
        <v>4</v>
      </c>
      <c r="I52">
        <v>5</v>
      </c>
      <c r="J52">
        <v>2</v>
      </c>
      <c r="K52">
        <v>5</v>
      </c>
      <c r="L52">
        <v>4</v>
      </c>
      <c r="M52">
        <v>3</v>
      </c>
      <c r="N52">
        <v>3</v>
      </c>
      <c r="O52">
        <v>5</v>
      </c>
      <c r="P52">
        <v>4</v>
      </c>
      <c r="Q52">
        <v>5</v>
      </c>
      <c r="R52">
        <v>4</v>
      </c>
      <c r="S52">
        <v>5</v>
      </c>
      <c r="T52">
        <v>5</v>
      </c>
      <c r="U52">
        <v>5</v>
      </c>
      <c r="V52">
        <v>2</v>
      </c>
      <c r="W52">
        <v>4</v>
      </c>
      <c r="X52">
        <v>4</v>
      </c>
      <c r="Y52">
        <v>4</v>
      </c>
      <c r="Z52">
        <v>3</v>
      </c>
      <c r="AA52">
        <v>4</v>
      </c>
      <c r="AB52">
        <v>2</v>
      </c>
      <c r="AC52">
        <v>3</v>
      </c>
      <c r="AD52">
        <v>2</v>
      </c>
      <c r="AE52">
        <v>3</v>
      </c>
      <c r="AF52">
        <v>3</v>
      </c>
      <c r="AG52">
        <v>2</v>
      </c>
      <c r="AH52">
        <v>2</v>
      </c>
      <c r="AI52">
        <v>3</v>
      </c>
      <c r="AJ52">
        <v>4</v>
      </c>
      <c r="AK52">
        <v>4</v>
      </c>
      <c r="AL52">
        <v>3</v>
      </c>
      <c r="AM52">
        <v>4</v>
      </c>
      <c r="AN52">
        <v>5</v>
      </c>
      <c r="AO52">
        <v>1</v>
      </c>
      <c r="AP52">
        <v>3</v>
      </c>
      <c r="AQ52">
        <v>3</v>
      </c>
      <c r="AR52">
        <v>2</v>
      </c>
      <c r="AS52">
        <v>4</v>
      </c>
      <c r="AT52">
        <v>5</v>
      </c>
    </row>
    <row r="53" spans="1:46" x14ac:dyDescent="0.3">
      <c r="A53">
        <v>3</v>
      </c>
      <c r="B53">
        <v>2</v>
      </c>
      <c r="C53">
        <v>2</v>
      </c>
      <c r="D53">
        <v>2</v>
      </c>
      <c r="E53">
        <v>2</v>
      </c>
      <c r="F53">
        <v>2</v>
      </c>
      <c r="G53">
        <v>3</v>
      </c>
      <c r="H53">
        <v>3</v>
      </c>
      <c r="I53">
        <v>5</v>
      </c>
      <c r="J53">
        <v>3</v>
      </c>
      <c r="K53">
        <v>3</v>
      </c>
      <c r="L53">
        <v>3</v>
      </c>
      <c r="M53">
        <v>5</v>
      </c>
      <c r="N53">
        <v>4</v>
      </c>
      <c r="O53">
        <v>5</v>
      </c>
      <c r="P53">
        <v>4</v>
      </c>
      <c r="Q53">
        <v>4</v>
      </c>
      <c r="R53">
        <v>4</v>
      </c>
      <c r="S53">
        <v>5</v>
      </c>
      <c r="T53">
        <v>5</v>
      </c>
      <c r="U53">
        <v>4</v>
      </c>
      <c r="V53">
        <v>2</v>
      </c>
      <c r="W53">
        <v>3</v>
      </c>
      <c r="X53">
        <v>5</v>
      </c>
      <c r="Y53">
        <v>5</v>
      </c>
      <c r="Z53">
        <v>2</v>
      </c>
      <c r="AA53">
        <v>5</v>
      </c>
      <c r="AB53">
        <v>4</v>
      </c>
      <c r="AC53">
        <v>3</v>
      </c>
      <c r="AD53">
        <v>4</v>
      </c>
      <c r="AE53">
        <v>4</v>
      </c>
      <c r="AF53">
        <v>3</v>
      </c>
      <c r="AG53">
        <v>2</v>
      </c>
      <c r="AH53">
        <v>3</v>
      </c>
      <c r="AI53">
        <v>5</v>
      </c>
      <c r="AJ53">
        <v>5</v>
      </c>
      <c r="AK53">
        <v>4</v>
      </c>
      <c r="AL53">
        <v>4</v>
      </c>
      <c r="AM53">
        <v>4</v>
      </c>
      <c r="AN53">
        <v>5</v>
      </c>
      <c r="AO53">
        <v>2</v>
      </c>
      <c r="AP53">
        <v>3</v>
      </c>
      <c r="AQ53">
        <v>2</v>
      </c>
      <c r="AR53">
        <v>3</v>
      </c>
      <c r="AS53">
        <v>5</v>
      </c>
      <c r="AT53">
        <v>3</v>
      </c>
    </row>
    <row r="54" spans="1:46" x14ac:dyDescent="0.3">
      <c r="A54">
        <v>5</v>
      </c>
      <c r="B54">
        <v>2</v>
      </c>
      <c r="C54">
        <v>1</v>
      </c>
      <c r="D54">
        <v>4</v>
      </c>
      <c r="E54">
        <v>1</v>
      </c>
      <c r="F54">
        <v>2</v>
      </c>
      <c r="G54">
        <v>4</v>
      </c>
      <c r="H54">
        <v>5</v>
      </c>
      <c r="I54">
        <v>4</v>
      </c>
      <c r="J54">
        <v>4</v>
      </c>
      <c r="K54">
        <v>4</v>
      </c>
      <c r="L54">
        <v>4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4</v>
      </c>
      <c r="T54">
        <v>4</v>
      </c>
      <c r="U54">
        <v>4</v>
      </c>
      <c r="V54">
        <v>5</v>
      </c>
      <c r="W54">
        <v>4</v>
      </c>
      <c r="X54">
        <v>5</v>
      </c>
      <c r="Y54">
        <v>4</v>
      </c>
      <c r="Z54">
        <v>4</v>
      </c>
      <c r="AA54">
        <v>4</v>
      </c>
      <c r="AB54">
        <v>4</v>
      </c>
      <c r="AC54">
        <v>4</v>
      </c>
      <c r="AD54">
        <v>5</v>
      </c>
      <c r="AE54">
        <v>5</v>
      </c>
      <c r="AF54">
        <v>4</v>
      </c>
      <c r="AG54">
        <v>4</v>
      </c>
      <c r="AH54">
        <v>4</v>
      </c>
      <c r="AI54">
        <v>5</v>
      </c>
      <c r="AJ54">
        <v>5</v>
      </c>
      <c r="AK54">
        <v>4</v>
      </c>
      <c r="AL54">
        <v>4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</row>
    <row r="55" spans="1:46" x14ac:dyDescent="0.3">
      <c r="A55">
        <v>3</v>
      </c>
      <c r="B55">
        <v>2</v>
      </c>
      <c r="C55">
        <v>1</v>
      </c>
      <c r="D55">
        <v>2</v>
      </c>
      <c r="E55">
        <v>1</v>
      </c>
      <c r="F55">
        <v>2</v>
      </c>
      <c r="G55">
        <v>3</v>
      </c>
      <c r="H55">
        <v>5</v>
      </c>
      <c r="I55">
        <v>4</v>
      </c>
      <c r="J55">
        <v>3</v>
      </c>
      <c r="K55">
        <v>3</v>
      </c>
      <c r="L55">
        <v>4</v>
      </c>
      <c r="M55">
        <v>4</v>
      </c>
      <c r="N55">
        <v>3</v>
      </c>
      <c r="O55">
        <v>5</v>
      </c>
      <c r="P55">
        <v>4</v>
      </c>
      <c r="Q55">
        <v>4</v>
      </c>
      <c r="R55">
        <v>3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4</v>
      </c>
      <c r="AG55">
        <v>4</v>
      </c>
      <c r="AH55">
        <v>3</v>
      </c>
      <c r="AI55">
        <v>4</v>
      </c>
      <c r="AJ55">
        <v>4</v>
      </c>
      <c r="AK55">
        <v>4</v>
      </c>
      <c r="AL55">
        <v>4</v>
      </c>
      <c r="AM55">
        <v>4</v>
      </c>
      <c r="AN55">
        <v>4</v>
      </c>
      <c r="AO55">
        <v>4</v>
      </c>
      <c r="AP55">
        <v>4</v>
      </c>
      <c r="AQ55">
        <v>4</v>
      </c>
      <c r="AR55">
        <v>4</v>
      </c>
      <c r="AS55">
        <v>4</v>
      </c>
      <c r="AT55">
        <v>4</v>
      </c>
    </row>
    <row r="56" spans="1:46" x14ac:dyDescent="0.3">
      <c r="A56">
        <v>5</v>
      </c>
      <c r="B56">
        <v>2</v>
      </c>
      <c r="C56">
        <v>2</v>
      </c>
      <c r="D56">
        <v>5</v>
      </c>
      <c r="E56">
        <v>4</v>
      </c>
      <c r="F56">
        <v>2</v>
      </c>
      <c r="G56">
        <v>3</v>
      </c>
      <c r="H56">
        <v>4</v>
      </c>
      <c r="I56">
        <v>4</v>
      </c>
      <c r="J56">
        <v>2</v>
      </c>
      <c r="K56">
        <v>3</v>
      </c>
      <c r="L56">
        <v>3</v>
      </c>
      <c r="M56">
        <v>3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5</v>
      </c>
      <c r="V56">
        <v>5</v>
      </c>
      <c r="W56">
        <v>5</v>
      </c>
      <c r="X56">
        <v>4</v>
      </c>
      <c r="Y56">
        <v>2</v>
      </c>
      <c r="Z56">
        <v>3</v>
      </c>
      <c r="AA56">
        <v>5</v>
      </c>
      <c r="AB56">
        <v>1</v>
      </c>
      <c r="AC56">
        <v>1</v>
      </c>
      <c r="AD56">
        <v>1</v>
      </c>
      <c r="AE56">
        <v>2</v>
      </c>
      <c r="AF56">
        <v>4</v>
      </c>
      <c r="AG56">
        <v>2</v>
      </c>
      <c r="AH56">
        <v>3</v>
      </c>
      <c r="AI56">
        <v>4</v>
      </c>
      <c r="AJ56">
        <v>5</v>
      </c>
      <c r="AK56">
        <v>4</v>
      </c>
      <c r="AL56">
        <v>3</v>
      </c>
      <c r="AM56">
        <v>4</v>
      </c>
      <c r="AN56">
        <v>5</v>
      </c>
      <c r="AO56">
        <v>3</v>
      </c>
      <c r="AP56">
        <v>4</v>
      </c>
      <c r="AQ56">
        <v>4</v>
      </c>
      <c r="AR56">
        <v>2</v>
      </c>
      <c r="AS56">
        <v>4</v>
      </c>
      <c r="AT56">
        <v>4</v>
      </c>
    </row>
    <row r="57" spans="1:46" x14ac:dyDescent="0.3">
      <c r="A57">
        <v>3</v>
      </c>
      <c r="B57">
        <v>2</v>
      </c>
      <c r="C57">
        <v>2</v>
      </c>
      <c r="D57">
        <v>1</v>
      </c>
      <c r="E57">
        <v>2</v>
      </c>
      <c r="F57">
        <v>3</v>
      </c>
      <c r="G57">
        <v>2</v>
      </c>
      <c r="H57">
        <v>3</v>
      </c>
      <c r="I57">
        <v>4</v>
      </c>
      <c r="J57">
        <v>2</v>
      </c>
      <c r="K57">
        <v>3</v>
      </c>
      <c r="L57">
        <v>3</v>
      </c>
      <c r="M57">
        <v>3</v>
      </c>
      <c r="N57">
        <v>3</v>
      </c>
      <c r="O57">
        <v>5</v>
      </c>
      <c r="P57">
        <v>4</v>
      </c>
      <c r="Q57">
        <v>4</v>
      </c>
      <c r="R57">
        <v>3</v>
      </c>
      <c r="S57">
        <v>4</v>
      </c>
      <c r="T57">
        <v>4</v>
      </c>
      <c r="U57">
        <v>4</v>
      </c>
      <c r="V57">
        <v>4</v>
      </c>
      <c r="W57">
        <v>4</v>
      </c>
      <c r="X57">
        <v>5</v>
      </c>
      <c r="Y57">
        <v>4</v>
      </c>
      <c r="Z57">
        <v>4</v>
      </c>
      <c r="AA57">
        <v>4</v>
      </c>
      <c r="AB57">
        <v>3</v>
      </c>
      <c r="AC57">
        <v>3</v>
      </c>
      <c r="AD57">
        <v>5</v>
      </c>
      <c r="AE57">
        <v>3</v>
      </c>
      <c r="AF57">
        <v>3</v>
      </c>
      <c r="AG57">
        <v>2</v>
      </c>
      <c r="AH57">
        <v>3</v>
      </c>
      <c r="AI57">
        <v>4</v>
      </c>
      <c r="AJ57">
        <v>4</v>
      </c>
      <c r="AK57">
        <v>5</v>
      </c>
      <c r="AL57">
        <v>5</v>
      </c>
      <c r="AM57">
        <v>3</v>
      </c>
      <c r="AN57">
        <v>4</v>
      </c>
      <c r="AO57">
        <v>3</v>
      </c>
      <c r="AP57">
        <v>4</v>
      </c>
      <c r="AQ57">
        <v>4</v>
      </c>
      <c r="AR57">
        <v>3</v>
      </c>
      <c r="AS57">
        <v>4</v>
      </c>
      <c r="AT57">
        <v>3</v>
      </c>
    </row>
    <row r="58" spans="1:46" x14ac:dyDescent="0.3">
      <c r="A58">
        <v>2</v>
      </c>
      <c r="B58">
        <v>2</v>
      </c>
      <c r="C58">
        <v>2</v>
      </c>
      <c r="D58">
        <v>1</v>
      </c>
      <c r="E58">
        <v>2</v>
      </c>
      <c r="F58">
        <v>2</v>
      </c>
      <c r="G58">
        <v>4</v>
      </c>
      <c r="H58">
        <v>4</v>
      </c>
      <c r="I58">
        <v>5</v>
      </c>
      <c r="J58">
        <v>3</v>
      </c>
      <c r="K58">
        <v>5</v>
      </c>
      <c r="L58">
        <v>4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1</v>
      </c>
      <c r="W58">
        <v>4</v>
      </c>
      <c r="X58">
        <v>5</v>
      </c>
      <c r="Y58">
        <v>4</v>
      </c>
      <c r="Z58">
        <v>5</v>
      </c>
      <c r="AA58">
        <v>3</v>
      </c>
      <c r="AB58">
        <v>3</v>
      </c>
      <c r="AC58">
        <v>5</v>
      </c>
      <c r="AD58">
        <v>3</v>
      </c>
      <c r="AE58">
        <v>3</v>
      </c>
      <c r="AF58">
        <v>2</v>
      </c>
      <c r="AG58">
        <v>2</v>
      </c>
      <c r="AH58">
        <v>4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2</v>
      </c>
      <c r="AP58">
        <v>5</v>
      </c>
      <c r="AQ58">
        <v>4</v>
      </c>
      <c r="AR58">
        <v>4</v>
      </c>
      <c r="AS58">
        <v>4</v>
      </c>
      <c r="AT58">
        <v>3</v>
      </c>
    </row>
    <row r="59" spans="1:46" x14ac:dyDescent="0.3">
      <c r="A59">
        <v>2</v>
      </c>
      <c r="B59">
        <v>2</v>
      </c>
      <c r="C59">
        <v>1</v>
      </c>
      <c r="D59">
        <v>2</v>
      </c>
      <c r="E59">
        <v>1</v>
      </c>
      <c r="F59">
        <v>2</v>
      </c>
      <c r="G59">
        <v>3</v>
      </c>
      <c r="H59">
        <v>4</v>
      </c>
      <c r="I59">
        <v>5</v>
      </c>
      <c r="J59">
        <v>3</v>
      </c>
      <c r="K59">
        <v>5</v>
      </c>
      <c r="L59">
        <v>2</v>
      </c>
      <c r="M59">
        <v>4</v>
      </c>
      <c r="N59">
        <v>3</v>
      </c>
      <c r="O59">
        <v>4</v>
      </c>
      <c r="P59">
        <v>5</v>
      </c>
      <c r="Q59">
        <v>4</v>
      </c>
      <c r="R59">
        <v>4</v>
      </c>
      <c r="S59">
        <v>3</v>
      </c>
      <c r="T59">
        <v>4</v>
      </c>
      <c r="U59">
        <v>4</v>
      </c>
      <c r="V59">
        <v>3</v>
      </c>
      <c r="W59">
        <v>3</v>
      </c>
      <c r="X59">
        <v>4</v>
      </c>
      <c r="Y59">
        <v>4</v>
      </c>
      <c r="Z59">
        <v>5</v>
      </c>
      <c r="AA59">
        <v>2</v>
      </c>
      <c r="AB59">
        <v>1</v>
      </c>
      <c r="AC59">
        <v>2</v>
      </c>
      <c r="AD59">
        <v>4</v>
      </c>
      <c r="AE59">
        <v>2</v>
      </c>
      <c r="AF59">
        <v>3</v>
      </c>
      <c r="AG59">
        <v>3</v>
      </c>
      <c r="AH59">
        <v>5</v>
      </c>
      <c r="AI59">
        <v>5</v>
      </c>
      <c r="AJ59">
        <v>4</v>
      </c>
      <c r="AK59">
        <v>5</v>
      </c>
      <c r="AL59">
        <v>5</v>
      </c>
      <c r="AM59">
        <v>4</v>
      </c>
      <c r="AN59">
        <v>4</v>
      </c>
      <c r="AO59">
        <v>1</v>
      </c>
      <c r="AP59">
        <v>5</v>
      </c>
      <c r="AQ59">
        <v>4</v>
      </c>
      <c r="AR59">
        <v>3</v>
      </c>
      <c r="AS59">
        <v>5</v>
      </c>
      <c r="AT59">
        <v>3</v>
      </c>
    </row>
    <row r="60" spans="1:46" x14ac:dyDescent="0.3">
      <c r="A60">
        <v>3</v>
      </c>
      <c r="B60">
        <v>2</v>
      </c>
      <c r="C60">
        <v>2</v>
      </c>
      <c r="D60">
        <v>2</v>
      </c>
      <c r="E60">
        <v>2</v>
      </c>
      <c r="F60">
        <v>2</v>
      </c>
      <c r="G60">
        <v>3</v>
      </c>
      <c r="H60">
        <v>4</v>
      </c>
      <c r="I60">
        <v>4</v>
      </c>
      <c r="J60">
        <v>3</v>
      </c>
      <c r="K60">
        <v>3</v>
      </c>
      <c r="L60">
        <v>3</v>
      </c>
      <c r="M60">
        <v>5</v>
      </c>
      <c r="N60">
        <v>5</v>
      </c>
      <c r="O60">
        <v>5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3</v>
      </c>
      <c r="W60">
        <v>3</v>
      </c>
      <c r="X60">
        <v>3</v>
      </c>
      <c r="Y60">
        <v>3</v>
      </c>
      <c r="Z60">
        <v>3</v>
      </c>
      <c r="AA60">
        <v>5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2</v>
      </c>
      <c r="AH60">
        <v>2</v>
      </c>
      <c r="AI60">
        <v>4</v>
      </c>
      <c r="AJ60">
        <v>4</v>
      </c>
      <c r="AK60">
        <v>4</v>
      </c>
      <c r="AL60">
        <v>3</v>
      </c>
      <c r="AM60">
        <v>4</v>
      </c>
      <c r="AN60">
        <v>4</v>
      </c>
      <c r="AO60">
        <v>3</v>
      </c>
      <c r="AP60">
        <v>3</v>
      </c>
      <c r="AQ60">
        <v>3</v>
      </c>
      <c r="AR60">
        <v>3</v>
      </c>
      <c r="AS60">
        <v>3</v>
      </c>
      <c r="AT60">
        <v>3</v>
      </c>
    </row>
    <row r="61" spans="1:46" x14ac:dyDescent="0.3">
      <c r="A61">
        <v>4</v>
      </c>
      <c r="B61">
        <v>2</v>
      </c>
      <c r="C61">
        <v>1</v>
      </c>
      <c r="D61">
        <v>4</v>
      </c>
      <c r="E61">
        <v>1</v>
      </c>
      <c r="F61">
        <v>2</v>
      </c>
      <c r="G61">
        <v>4</v>
      </c>
      <c r="H61">
        <v>4</v>
      </c>
      <c r="I61">
        <v>5</v>
      </c>
      <c r="J61">
        <v>2</v>
      </c>
      <c r="K61">
        <v>4</v>
      </c>
      <c r="L61">
        <v>4</v>
      </c>
      <c r="M61">
        <v>5</v>
      </c>
      <c r="N61">
        <v>5</v>
      </c>
      <c r="O61">
        <v>5</v>
      </c>
      <c r="P61">
        <v>4</v>
      </c>
      <c r="Q61">
        <v>4</v>
      </c>
      <c r="R61">
        <v>5</v>
      </c>
      <c r="S61">
        <v>4</v>
      </c>
      <c r="T61">
        <v>5</v>
      </c>
      <c r="U61">
        <v>5</v>
      </c>
      <c r="V61">
        <v>3</v>
      </c>
      <c r="W61">
        <v>3</v>
      </c>
      <c r="X61">
        <v>5</v>
      </c>
      <c r="Y61">
        <v>5</v>
      </c>
      <c r="Z61">
        <v>1</v>
      </c>
      <c r="AA61">
        <v>4</v>
      </c>
      <c r="AB61">
        <v>2</v>
      </c>
      <c r="AC61">
        <v>4</v>
      </c>
      <c r="AD61">
        <v>4</v>
      </c>
      <c r="AE61">
        <v>3</v>
      </c>
      <c r="AF61">
        <v>4</v>
      </c>
      <c r="AG61">
        <v>2</v>
      </c>
      <c r="AH61">
        <v>4</v>
      </c>
      <c r="AI61">
        <v>4</v>
      </c>
      <c r="AJ61">
        <v>5</v>
      </c>
      <c r="AK61">
        <v>5</v>
      </c>
      <c r="AL61">
        <v>2</v>
      </c>
      <c r="AM61">
        <v>4</v>
      </c>
      <c r="AN61">
        <v>5</v>
      </c>
      <c r="AO61">
        <v>2</v>
      </c>
      <c r="AP61">
        <v>4</v>
      </c>
      <c r="AQ61">
        <v>5</v>
      </c>
      <c r="AR61">
        <v>2</v>
      </c>
      <c r="AS61">
        <v>5</v>
      </c>
      <c r="AT61">
        <v>4</v>
      </c>
    </row>
    <row r="62" spans="1:46" x14ac:dyDescent="0.3">
      <c r="A62">
        <v>5</v>
      </c>
      <c r="B62">
        <v>2</v>
      </c>
      <c r="C62">
        <v>1</v>
      </c>
      <c r="D62">
        <v>5</v>
      </c>
      <c r="E62">
        <v>1</v>
      </c>
      <c r="F62">
        <v>2</v>
      </c>
      <c r="G62">
        <v>5</v>
      </c>
      <c r="H62">
        <v>5</v>
      </c>
      <c r="I62">
        <v>4</v>
      </c>
      <c r="J62">
        <v>3</v>
      </c>
      <c r="K62">
        <v>4</v>
      </c>
      <c r="L62">
        <v>1</v>
      </c>
      <c r="M62">
        <v>2</v>
      </c>
      <c r="N62">
        <v>3</v>
      </c>
      <c r="O62">
        <v>3</v>
      </c>
      <c r="P62">
        <v>4</v>
      </c>
      <c r="Q62">
        <v>2</v>
      </c>
      <c r="R62">
        <v>3</v>
      </c>
      <c r="S62">
        <v>4</v>
      </c>
      <c r="T62">
        <v>2</v>
      </c>
      <c r="U62">
        <v>3</v>
      </c>
      <c r="V62">
        <v>2</v>
      </c>
      <c r="W62">
        <v>4</v>
      </c>
      <c r="X62">
        <v>3</v>
      </c>
      <c r="Y62">
        <v>3</v>
      </c>
      <c r="Z62">
        <v>2</v>
      </c>
      <c r="AA62">
        <v>4</v>
      </c>
      <c r="AB62">
        <v>1</v>
      </c>
      <c r="AC62">
        <v>2</v>
      </c>
      <c r="AD62">
        <v>1</v>
      </c>
      <c r="AE62">
        <v>2</v>
      </c>
      <c r="AF62">
        <v>3</v>
      </c>
      <c r="AG62">
        <v>4</v>
      </c>
      <c r="AH62">
        <v>3</v>
      </c>
      <c r="AI62">
        <v>2</v>
      </c>
      <c r="AJ62">
        <v>4</v>
      </c>
      <c r="AK62">
        <v>4</v>
      </c>
      <c r="AL62">
        <v>2</v>
      </c>
      <c r="AM62">
        <v>3</v>
      </c>
      <c r="AN62">
        <v>3</v>
      </c>
      <c r="AO62">
        <v>1</v>
      </c>
      <c r="AP62">
        <v>3</v>
      </c>
      <c r="AQ62">
        <v>2</v>
      </c>
      <c r="AR62">
        <v>1</v>
      </c>
      <c r="AS62">
        <v>4</v>
      </c>
      <c r="AT62">
        <v>3</v>
      </c>
    </row>
    <row r="63" spans="1:46" x14ac:dyDescent="0.3">
      <c r="A63">
        <v>2</v>
      </c>
      <c r="B63">
        <v>2</v>
      </c>
      <c r="C63">
        <v>1</v>
      </c>
      <c r="D63">
        <v>2</v>
      </c>
      <c r="E63">
        <v>1</v>
      </c>
      <c r="F63">
        <v>3</v>
      </c>
      <c r="G63">
        <v>2</v>
      </c>
      <c r="H63">
        <v>5</v>
      </c>
      <c r="I63">
        <v>3</v>
      </c>
      <c r="J63">
        <v>3</v>
      </c>
      <c r="K63">
        <v>4</v>
      </c>
      <c r="L63">
        <v>2</v>
      </c>
      <c r="M63">
        <v>5</v>
      </c>
      <c r="N63">
        <v>5</v>
      </c>
      <c r="O63">
        <v>5</v>
      </c>
      <c r="P63">
        <v>5</v>
      </c>
      <c r="Q63">
        <v>3</v>
      </c>
      <c r="R63">
        <v>1</v>
      </c>
      <c r="S63">
        <v>4</v>
      </c>
      <c r="T63">
        <v>4</v>
      </c>
      <c r="U63">
        <v>4</v>
      </c>
      <c r="V63">
        <v>3</v>
      </c>
      <c r="W63">
        <v>2</v>
      </c>
      <c r="X63">
        <v>2</v>
      </c>
      <c r="Y63">
        <v>4</v>
      </c>
      <c r="Z63">
        <v>3</v>
      </c>
      <c r="AA63">
        <v>3</v>
      </c>
      <c r="AB63">
        <v>1</v>
      </c>
      <c r="AC63">
        <v>2</v>
      </c>
      <c r="AD63">
        <v>1</v>
      </c>
      <c r="AE63">
        <v>2</v>
      </c>
      <c r="AF63">
        <v>3</v>
      </c>
      <c r="AG63">
        <v>3</v>
      </c>
      <c r="AH63">
        <v>3</v>
      </c>
      <c r="AI63">
        <v>3</v>
      </c>
      <c r="AJ63">
        <v>4</v>
      </c>
      <c r="AK63">
        <v>3</v>
      </c>
      <c r="AL63">
        <v>2</v>
      </c>
      <c r="AM63">
        <v>2</v>
      </c>
      <c r="AN63">
        <v>3</v>
      </c>
      <c r="AO63">
        <v>3</v>
      </c>
      <c r="AP63">
        <v>2</v>
      </c>
      <c r="AQ63">
        <v>3</v>
      </c>
      <c r="AR63">
        <v>2</v>
      </c>
      <c r="AS63">
        <v>2</v>
      </c>
      <c r="AT63">
        <v>2</v>
      </c>
    </row>
    <row r="64" spans="1:46" x14ac:dyDescent="0.3">
      <c r="A64">
        <v>5</v>
      </c>
      <c r="B64">
        <v>2</v>
      </c>
      <c r="C64">
        <v>3</v>
      </c>
      <c r="D64">
        <v>4</v>
      </c>
      <c r="E64">
        <v>3</v>
      </c>
      <c r="F64">
        <v>2</v>
      </c>
      <c r="G64">
        <v>4</v>
      </c>
      <c r="H64">
        <v>4</v>
      </c>
      <c r="I64">
        <v>5</v>
      </c>
      <c r="J64">
        <v>4</v>
      </c>
      <c r="K64">
        <v>4</v>
      </c>
      <c r="L64">
        <v>5</v>
      </c>
      <c r="M64">
        <v>3</v>
      </c>
      <c r="N64">
        <v>5</v>
      </c>
      <c r="O64">
        <v>5</v>
      </c>
      <c r="P64">
        <v>4</v>
      </c>
      <c r="Q64">
        <v>5</v>
      </c>
      <c r="R64">
        <v>5</v>
      </c>
      <c r="S64">
        <v>4</v>
      </c>
      <c r="T64">
        <v>4</v>
      </c>
      <c r="U64">
        <v>5</v>
      </c>
      <c r="V64">
        <v>5</v>
      </c>
      <c r="W64">
        <v>4</v>
      </c>
      <c r="X64">
        <v>5</v>
      </c>
      <c r="Y64">
        <v>5</v>
      </c>
      <c r="Z64">
        <v>5</v>
      </c>
      <c r="AA64">
        <v>5</v>
      </c>
      <c r="AB64">
        <v>5</v>
      </c>
      <c r="AC64">
        <v>4</v>
      </c>
      <c r="AD64">
        <v>5</v>
      </c>
      <c r="AE64">
        <v>5</v>
      </c>
      <c r="AF64">
        <v>5</v>
      </c>
      <c r="AG64">
        <v>1</v>
      </c>
      <c r="AH64">
        <v>5</v>
      </c>
      <c r="AI64">
        <v>5</v>
      </c>
      <c r="AJ64">
        <v>5</v>
      </c>
      <c r="AK64">
        <v>5</v>
      </c>
      <c r="AL64">
        <v>5</v>
      </c>
      <c r="AM64">
        <v>5</v>
      </c>
      <c r="AN64">
        <v>5</v>
      </c>
      <c r="AO64">
        <v>3</v>
      </c>
      <c r="AP64">
        <v>5</v>
      </c>
      <c r="AQ64">
        <v>5</v>
      </c>
      <c r="AR64">
        <v>5</v>
      </c>
      <c r="AS64">
        <v>5</v>
      </c>
      <c r="AT64">
        <v>5</v>
      </c>
    </row>
    <row r="65" spans="1:46" x14ac:dyDescent="0.3">
      <c r="A65">
        <v>2</v>
      </c>
      <c r="B65">
        <v>2</v>
      </c>
      <c r="C65">
        <v>2</v>
      </c>
      <c r="D65">
        <v>1</v>
      </c>
      <c r="E65">
        <v>2</v>
      </c>
      <c r="F65">
        <v>2</v>
      </c>
      <c r="G65">
        <v>4</v>
      </c>
      <c r="H65">
        <v>5</v>
      </c>
      <c r="I65">
        <v>5</v>
      </c>
      <c r="J65">
        <v>3</v>
      </c>
      <c r="K65">
        <v>5</v>
      </c>
      <c r="L65">
        <v>4</v>
      </c>
      <c r="M65">
        <v>4</v>
      </c>
      <c r="N65">
        <v>5</v>
      </c>
      <c r="O65">
        <v>5</v>
      </c>
      <c r="P65">
        <v>5</v>
      </c>
      <c r="Q65">
        <v>5</v>
      </c>
      <c r="R65">
        <v>5</v>
      </c>
      <c r="S65">
        <v>3</v>
      </c>
      <c r="T65">
        <v>5</v>
      </c>
      <c r="U65">
        <v>5</v>
      </c>
      <c r="V65">
        <v>2</v>
      </c>
      <c r="W65">
        <v>4</v>
      </c>
      <c r="X65">
        <v>5</v>
      </c>
      <c r="Y65">
        <v>3</v>
      </c>
      <c r="Z65">
        <v>3</v>
      </c>
      <c r="AA65">
        <v>4</v>
      </c>
      <c r="AB65">
        <v>1</v>
      </c>
      <c r="AC65">
        <v>3</v>
      </c>
      <c r="AD65">
        <v>2</v>
      </c>
      <c r="AE65">
        <v>3</v>
      </c>
      <c r="AF65">
        <v>4</v>
      </c>
      <c r="AG65">
        <v>2</v>
      </c>
      <c r="AH65">
        <v>4</v>
      </c>
      <c r="AI65">
        <v>5</v>
      </c>
      <c r="AJ65">
        <v>4</v>
      </c>
      <c r="AK65">
        <v>5</v>
      </c>
      <c r="AL65">
        <v>5</v>
      </c>
      <c r="AM65">
        <v>5</v>
      </c>
      <c r="AN65">
        <v>5</v>
      </c>
      <c r="AO65">
        <v>2</v>
      </c>
      <c r="AP65">
        <v>3</v>
      </c>
      <c r="AQ65">
        <v>4</v>
      </c>
      <c r="AR65">
        <v>3</v>
      </c>
      <c r="AS65">
        <v>5</v>
      </c>
      <c r="AT65">
        <v>3</v>
      </c>
    </row>
    <row r="66" spans="1:46" x14ac:dyDescent="0.3">
      <c r="A66">
        <v>2</v>
      </c>
      <c r="B66">
        <v>2</v>
      </c>
      <c r="C66">
        <v>2</v>
      </c>
      <c r="D66">
        <v>1</v>
      </c>
      <c r="E66">
        <v>2</v>
      </c>
      <c r="F66">
        <v>2</v>
      </c>
      <c r="G66">
        <v>4</v>
      </c>
      <c r="H66">
        <v>5</v>
      </c>
      <c r="I66">
        <v>5</v>
      </c>
      <c r="J66">
        <v>3</v>
      </c>
      <c r="K66">
        <v>5</v>
      </c>
      <c r="L66">
        <v>3</v>
      </c>
      <c r="M66">
        <v>4</v>
      </c>
      <c r="N66">
        <v>4</v>
      </c>
      <c r="O66">
        <v>4</v>
      </c>
      <c r="P66">
        <v>5</v>
      </c>
      <c r="Q66">
        <v>4</v>
      </c>
      <c r="R66">
        <v>5</v>
      </c>
      <c r="S66">
        <v>5</v>
      </c>
      <c r="T66">
        <v>5</v>
      </c>
      <c r="U66">
        <v>5</v>
      </c>
      <c r="V66">
        <v>3</v>
      </c>
      <c r="W66">
        <v>2</v>
      </c>
      <c r="X66">
        <v>5</v>
      </c>
      <c r="Y66">
        <v>5</v>
      </c>
      <c r="Z66">
        <v>5</v>
      </c>
      <c r="AA66">
        <v>4</v>
      </c>
      <c r="AB66">
        <v>2</v>
      </c>
      <c r="AC66">
        <v>3</v>
      </c>
      <c r="AD66">
        <v>3</v>
      </c>
      <c r="AE66">
        <v>2</v>
      </c>
      <c r="AF66">
        <v>4</v>
      </c>
      <c r="AG66">
        <v>3</v>
      </c>
      <c r="AH66">
        <v>5</v>
      </c>
      <c r="AI66">
        <v>5</v>
      </c>
      <c r="AJ66">
        <v>3</v>
      </c>
      <c r="AK66">
        <v>4</v>
      </c>
      <c r="AL66">
        <v>4</v>
      </c>
      <c r="AM66">
        <v>5</v>
      </c>
      <c r="AN66">
        <v>5</v>
      </c>
      <c r="AO66">
        <v>1</v>
      </c>
      <c r="AP66">
        <v>5</v>
      </c>
      <c r="AQ66">
        <v>5</v>
      </c>
      <c r="AR66">
        <v>4</v>
      </c>
      <c r="AS66">
        <v>5</v>
      </c>
      <c r="AT66">
        <v>5</v>
      </c>
    </row>
    <row r="67" spans="1:46" x14ac:dyDescent="0.3">
      <c r="A67">
        <v>3</v>
      </c>
      <c r="B67">
        <v>2</v>
      </c>
      <c r="C67">
        <v>2</v>
      </c>
      <c r="D67">
        <v>2</v>
      </c>
      <c r="E67">
        <v>2</v>
      </c>
      <c r="F67">
        <v>2</v>
      </c>
      <c r="G67">
        <v>4</v>
      </c>
      <c r="H67">
        <v>5</v>
      </c>
      <c r="I67">
        <v>3</v>
      </c>
      <c r="J67">
        <v>2</v>
      </c>
      <c r="K67">
        <v>4</v>
      </c>
      <c r="L67">
        <v>3</v>
      </c>
      <c r="M67">
        <v>4</v>
      </c>
      <c r="N67">
        <v>5</v>
      </c>
      <c r="O67">
        <v>5</v>
      </c>
      <c r="P67">
        <v>3</v>
      </c>
      <c r="Q67">
        <v>2</v>
      </c>
      <c r="R67">
        <v>3</v>
      </c>
      <c r="S67">
        <v>4</v>
      </c>
      <c r="T67">
        <v>2</v>
      </c>
      <c r="U67">
        <v>5</v>
      </c>
      <c r="V67">
        <v>5</v>
      </c>
      <c r="W67">
        <v>5</v>
      </c>
      <c r="X67">
        <v>5</v>
      </c>
      <c r="Y67">
        <v>5</v>
      </c>
      <c r="Z67">
        <v>3</v>
      </c>
      <c r="AA67">
        <v>5</v>
      </c>
      <c r="AB67">
        <v>2</v>
      </c>
      <c r="AC67">
        <v>3</v>
      </c>
      <c r="AD67">
        <v>3</v>
      </c>
      <c r="AE67">
        <v>2</v>
      </c>
      <c r="AF67">
        <v>5</v>
      </c>
      <c r="AG67">
        <v>2</v>
      </c>
      <c r="AH67">
        <v>3</v>
      </c>
      <c r="AI67">
        <v>5</v>
      </c>
      <c r="AJ67">
        <v>4</v>
      </c>
      <c r="AK67">
        <v>4</v>
      </c>
      <c r="AL67">
        <v>3</v>
      </c>
      <c r="AM67">
        <v>5</v>
      </c>
      <c r="AN67">
        <v>5</v>
      </c>
      <c r="AO67">
        <v>3</v>
      </c>
      <c r="AP67">
        <v>2</v>
      </c>
      <c r="AQ67">
        <v>3</v>
      </c>
      <c r="AR67">
        <v>2</v>
      </c>
      <c r="AS67">
        <v>5</v>
      </c>
      <c r="AT67">
        <v>5</v>
      </c>
    </row>
    <row r="68" spans="1:46" x14ac:dyDescent="0.3">
      <c r="A68">
        <v>4</v>
      </c>
      <c r="B68">
        <v>2</v>
      </c>
      <c r="C68">
        <v>2</v>
      </c>
      <c r="D68">
        <v>4</v>
      </c>
      <c r="E68">
        <v>2</v>
      </c>
      <c r="F68">
        <v>2</v>
      </c>
      <c r="G68">
        <v>4</v>
      </c>
      <c r="H68">
        <v>5</v>
      </c>
      <c r="I68">
        <v>4</v>
      </c>
      <c r="J68">
        <v>3</v>
      </c>
      <c r="K68">
        <v>4</v>
      </c>
      <c r="L68">
        <v>5</v>
      </c>
      <c r="M68">
        <v>3</v>
      </c>
      <c r="N68">
        <v>5</v>
      </c>
      <c r="O68">
        <v>5</v>
      </c>
      <c r="P68">
        <v>5</v>
      </c>
      <c r="Q68">
        <v>4</v>
      </c>
      <c r="R68">
        <v>5</v>
      </c>
      <c r="S68">
        <v>4</v>
      </c>
      <c r="T68">
        <v>5</v>
      </c>
      <c r="U68">
        <v>5</v>
      </c>
      <c r="V68">
        <v>3</v>
      </c>
      <c r="W68">
        <v>5</v>
      </c>
      <c r="X68">
        <v>4</v>
      </c>
      <c r="Y68">
        <v>5</v>
      </c>
      <c r="Z68">
        <v>4</v>
      </c>
      <c r="AA68">
        <v>5</v>
      </c>
      <c r="AB68">
        <v>5</v>
      </c>
      <c r="AC68">
        <v>4</v>
      </c>
      <c r="AD68">
        <v>5</v>
      </c>
      <c r="AE68">
        <v>5</v>
      </c>
      <c r="AF68">
        <v>4</v>
      </c>
      <c r="AG68">
        <v>4</v>
      </c>
      <c r="AH68">
        <v>5</v>
      </c>
      <c r="AI68">
        <v>4</v>
      </c>
      <c r="AJ68">
        <v>5</v>
      </c>
      <c r="AK68">
        <v>4</v>
      </c>
      <c r="AL68">
        <v>5</v>
      </c>
      <c r="AM68">
        <v>5</v>
      </c>
      <c r="AN68">
        <v>5</v>
      </c>
      <c r="AO68">
        <v>4</v>
      </c>
      <c r="AP68">
        <v>5</v>
      </c>
      <c r="AQ68">
        <v>5</v>
      </c>
      <c r="AR68">
        <v>5</v>
      </c>
      <c r="AS68">
        <v>5</v>
      </c>
      <c r="AT68">
        <v>4</v>
      </c>
    </row>
    <row r="69" spans="1:46" x14ac:dyDescent="0.3">
      <c r="A69">
        <v>4</v>
      </c>
      <c r="B69">
        <v>2</v>
      </c>
      <c r="C69">
        <v>2</v>
      </c>
      <c r="D69">
        <v>1</v>
      </c>
      <c r="E69">
        <v>3</v>
      </c>
      <c r="F69">
        <v>2</v>
      </c>
      <c r="G69">
        <v>4</v>
      </c>
      <c r="H69">
        <v>4</v>
      </c>
      <c r="I69">
        <v>3</v>
      </c>
      <c r="J69">
        <v>4</v>
      </c>
      <c r="K69">
        <v>3</v>
      </c>
      <c r="L69">
        <v>2</v>
      </c>
      <c r="M69">
        <v>3</v>
      </c>
      <c r="N69">
        <v>1</v>
      </c>
      <c r="O69">
        <v>3</v>
      </c>
      <c r="P69">
        <v>4</v>
      </c>
      <c r="Q69">
        <v>3</v>
      </c>
      <c r="R69">
        <v>5</v>
      </c>
      <c r="S69">
        <v>4</v>
      </c>
      <c r="T69">
        <v>2</v>
      </c>
      <c r="U69">
        <v>3</v>
      </c>
      <c r="V69">
        <v>4</v>
      </c>
      <c r="W69">
        <v>5</v>
      </c>
      <c r="X69">
        <v>5</v>
      </c>
      <c r="Y69">
        <v>3</v>
      </c>
      <c r="Z69">
        <v>4</v>
      </c>
      <c r="AA69">
        <v>5</v>
      </c>
      <c r="AB69">
        <v>3</v>
      </c>
      <c r="AC69">
        <v>2</v>
      </c>
      <c r="AD69">
        <v>3</v>
      </c>
      <c r="AE69">
        <v>3</v>
      </c>
      <c r="AF69">
        <v>5</v>
      </c>
      <c r="AG69">
        <v>4</v>
      </c>
      <c r="AH69">
        <v>2</v>
      </c>
      <c r="AI69">
        <v>4</v>
      </c>
      <c r="AJ69">
        <v>5</v>
      </c>
      <c r="AK69">
        <v>3</v>
      </c>
      <c r="AL69">
        <v>4</v>
      </c>
      <c r="AM69">
        <v>4</v>
      </c>
      <c r="AN69">
        <v>5</v>
      </c>
      <c r="AO69">
        <v>3</v>
      </c>
      <c r="AP69">
        <v>3</v>
      </c>
      <c r="AQ69">
        <v>4</v>
      </c>
      <c r="AR69">
        <v>3</v>
      </c>
      <c r="AS69">
        <v>3</v>
      </c>
      <c r="AT69">
        <v>3</v>
      </c>
    </row>
    <row r="70" spans="1:46" x14ac:dyDescent="0.3">
      <c r="A70">
        <v>2</v>
      </c>
      <c r="B70">
        <v>2</v>
      </c>
      <c r="C70">
        <v>2</v>
      </c>
      <c r="D70">
        <v>1</v>
      </c>
      <c r="E70">
        <v>2</v>
      </c>
      <c r="F70">
        <v>3</v>
      </c>
      <c r="G70">
        <v>5</v>
      </c>
      <c r="H70">
        <v>5</v>
      </c>
      <c r="I70">
        <v>4</v>
      </c>
      <c r="J70">
        <v>3</v>
      </c>
      <c r="K70">
        <v>5</v>
      </c>
      <c r="L70">
        <v>4</v>
      </c>
      <c r="M70">
        <v>5</v>
      </c>
      <c r="N70">
        <v>4</v>
      </c>
      <c r="O70">
        <v>5</v>
      </c>
      <c r="P70">
        <v>5</v>
      </c>
      <c r="Q70">
        <v>5</v>
      </c>
      <c r="R70">
        <v>4</v>
      </c>
      <c r="S70">
        <v>5</v>
      </c>
      <c r="T70">
        <v>5</v>
      </c>
      <c r="U70">
        <v>4</v>
      </c>
      <c r="V70">
        <v>4</v>
      </c>
      <c r="W70">
        <v>2</v>
      </c>
      <c r="X70">
        <v>4</v>
      </c>
      <c r="Y70">
        <v>3</v>
      </c>
      <c r="Z70">
        <v>5</v>
      </c>
      <c r="AA70">
        <v>3</v>
      </c>
      <c r="AB70">
        <v>2</v>
      </c>
      <c r="AC70">
        <v>1</v>
      </c>
      <c r="AD70">
        <v>2</v>
      </c>
      <c r="AE70">
        <v>1</v>
      </c>
      <c r="AF70">
        <v>3</v>
      </c>
      <c r="AG70">
        <v>2</v>
      </c>
      <c r="AH70">
        <v>3</v>
      </c>
      <c r="AI70">
        <v>5</v>
      </c>
      <c r="AJ70">
        <v>3</v>
      </c>
      <c r="AK70">
        <v>5</v>
      </c>
      <c r="AL70">
        <v>4</v>
      </c>
      <c r="AM70">
        <v>3</v>
      </c>
      <c r="AN70">
        <v>4</v>
      </c>
      <c r="AO70">
        <v>5</v>
      </c>
      <c r="AP70">
        <v>3</v>
      </c>
      <c r="AQ70">
        <v>5</v>
      </c>
      <c r="AR70">
        <v>4</v>
      </c>
      <c r="AS70">
        <v>5</v>
      </c>
      <c r="AT70">
        <v>3</v>
      </c>
    </row>
    <row r="71" spans="1:46" x14ac:dyDescent="0.3">
      <c r="A71">
        <v>5</v>
      </c>
      <c r="B71">
        <v>2</v>
      </c>
      <c r="C71">
        <v>1</v>
      </c>
      <c r="D71">
        <v>5</v>
      </c>
      <c r="E71">
        <v>1</v>
      </c>
      <c r="F71">
        <v>2</v>
      </c>
      <c r="G71">
        <v>4</v>
      </c>
      <c r="H71">
        <v>5</v>
      </c>
      <c r="I71">
        <v>5</v>
      </c>
      <c r="J71">
        <v>4</v>
      </c>
      <c r="K71">
        <v>4</v>
      </c>
      <c r="L71">
        <v>4</v>
      </c>
      <c r="M71">
        <v>4</v>
      </c>
      <c r="N71">
        <v>4</v>
      </c>
      <c r="O71">
        <v>5</v>
      </c>
      <c r="P71">
        <v>5</v>
      </c>
      <c r="Q71">
        <v>4</v>
      </c>
      <c r="R71">
        <v>5</v>
      </c>
      <c r="S71">
        <v>5</v>
      </c>
      <c r="T71">
        <v>5</v>
      </c>
      <c r="U71">
        <v>4</v>
      </c>
      <c r="V71">
        <v>4</v>
      </c>
      <c r="W71">
        <v>5</v>
      </c>
      <c r="X71">
        <v>5</v>
      </c>
      <c r="Y71">
        <v>5</v>
      </c>
      <c r="Z71">
        <v>3</v>
      </c>
      <c r="AA71">
        <v>5</v>
      </c>
      <c r="AB71">
        <v>3</v>
      </c>
      <c r="AC71">
        <v>4</v>
      </c>
      <c r="AD71">
        <v>3</v>
      </c>
      <c r="AE71">
        <v>3</v>
      </c>
      <c r="AF71">
        <v>5</v>
      </c>
      <c r="AG71">
        <v>3</v>
      </c>
      <c r="AH71">
        <v>3</v>
      </c>
      <c r="AI71">
        <v>5</v>
      </c>
      <c r="AJ71">
        <v>5</v>
      </c>
      <c r="AK71">
        <v>4</v>
      </c>
      <c r="AL71">
        <v>5</v>
      </c>
      <c r="AM71">
        <v>5</v>
      </c>
      <c r="AN71">
        <v>5</v>
      </c>
      <c r="AO71">
        <v>4</v>
      </c>
      <c r="AP71">
        <v>5</v>
      </c>
      <c r="AQ71">
        <v>4</v>
      </c>
      <c r="AR71">
        <v>4</v>
      </c>
      <c r="AS71">
        <v>5</v>
      </c>
      <c r="AT71">
        <v>5</v>
      </c>
    </row>
    <row r="72" spans="1:46" x14ac:dyDescent="0.3">
      <c r="A72">
        <v>3</v>
      </c>
      <c r="B72">
        <v>2</v>
      </c>
      <c r="C72">
        <v>2</v>
      </c>
      <c r="D72">
        <v>2</v>
      </c>
      <c r="E72">
        <v>2</v>
      </c>
      <c r="F72">
        <v>2</v>
      </c>
      <c r="G72">
        <v>4</v>
      </c>
      <c r="H72">
        <v>4</v>
      </c>
      <c r="I72">
        <v>4</v>
      </c>
      <c r="J72">
        <v>3</v>
      </c>
      <c r="K72">
        <v>4</v>
      </c>
      <c r="L72">
        <v>3</v>
      </c>
      <c r="M72">
        <v>3</v>
      </c>
      <c r="N72">
        <v>4</v>
      </c>
      <c r="O72">
        <v>4</v>
      </c>
      <c r="P72">
        <v>4</v>
      </c>
      <c r="Q72">
        <v>3</v>
      </c>
      <c r="R72">
        <v>3</v>
      </c>
      <c r="S72">
        <v>3</v>
      </c>
      <c r="T72">
        <v>3</v>
      </c>
      <c r="U72">
        <v>4</v>
      </c>
      <c r="V72">
        <v>4</v>
      </c>
      <c r="W72">
        <v>3</v>
      </c>
      <c r="X72">
        <v>4</v>
      </c>
      <c r="Y72">
        <v>4</v>
      </c>
      <c r="Z72">
        <v>4</v>
      </c>
      <c r="AA72">
        <v>4</v>
      </c>
      <c r="AB72">
        <v>3</v>
      </c>
      <c r="AC72">
        <v>3</v>
      </c>
      <c r="AD72">
        <v>4</v>
      </c>
      <c r="AE72">
        <v>3</v>
      </c>
      <c r="AF72">
        <v>4</v>
      </c>
      <c r="AG72">
        <v>3</v>
      </c>
      <c r="AH72">
        <v>3</v>
      </c>
      <c r="AI72">
        <v>3</v>
      </c>
      <c r="AJ72">
        <v>4</v>
      </c>
      <c r="AK72">
        <v>4</v>
      </c>
      <c r="AL72">
        <v>3</v>
      </c>
      <c r="AM72">
        <v>4</v>
      </c>
      <c r="AN72">
        <v>4</v>
      </c>
      <c r="AO72">
        <v>3</v>
      </c>
      <c r="AP72">
        <v>4</v>
      </c>
      <c r="AQ72">
        <v>4</v>
      </c>
      <c r="AR72">
        <v>3</v>
      </c>
      <c r="AS72">
        <v>4</v>
      </c>
      <c r="AT72">
        <v>4</v>
      </c>
    </row>
    <row r="73" spans="1:46" x14ac:dyDescent="0.3">
      <c r="A73">
        <v>5</v>
      </c>
      <c r="B73">
        <v>1</v>
      </c>
      <c r="C73">
        <v>2</v>
      </c>
      <c r="D73">
        <v>3</v>
      </c>
      <c r="E73">
        <v>2</v>
      </c>
      <c r="F73">
        <v>2</v>
      </c>
      <c r="G73">
        <v>4</v>
      </c>
      <c r="H73">
        <v>4</v>
      </c>
      <c r="I73">
        <v>4</v>
      </c>
      <c r="J73">
        <v>3</v>
      </c>
      <c r="K73">
        <v>2</v>
      </c>
      <c r="L73">
        <v>4</v>
      </c>
      <c r="M73">
        <v>5</v>
      </c>
      <c r="N73">
        <v>4</v>
      </c>
      <c r="O73">
        <v>4</v>
      </c>
      <c r="P73">
        <v>3</v>
      </c>
      <c r="Q73">
        <v>4</v>
      </c>
      <c r="R73">
        <v>4</v>
      </c>
      <c r="S73">
        <v>3</v>
      </c>
      <c r="T73">
        <v>3</v>
      </c>
      <c r="U73">
        <v>3</v>
      </c>
      <c r="V73">
        <v>4</v>
      </c>
      <c r="W73">
        <v>3</v>
      </c>
      <c r="X73">
        <v>4</v>
      </c>
      <c r="Y73">
        <v>3</v>
      </c>
      <c r="Z73">
        <v>3</v>
      </c>
      <c r="AA73">
        <v>4</v>
      </c>
      <c r="AB73">
        <v>3</v>
      </c>
      <c r="AC73">
        <v>3</v>
      </c>
      <c r="AD73">
        <v>3</v>
      </c>
      <c r="AE73">
        <v>4</v>
      </c>
      <c r="AF73">
        <v>4</v>
      </c>
      <c r="AG73">
        <v>3</v>
      </c>
      <c r="AH73">
        <v>2</v>
      </c>
      <c r="AI73">
        <v>5</v>
      </c>
      <c r="AJ73">
        <v>5</v>
      </c>
      <c r="AK73">
        <v>5</v>
      </c>
      <c r="AL73">
        <v>3</v>
      </c>
      <c r="AM73">
        <v>4</v>
      </c>
      <c r="AN73">
        <v>5</v>
      </c>
      <c r="AO73">
        <v>2</v>
      </c>
      <c r="AP73">
        <v>3</v>
      </c>
      <c r="AQ73">
        <v>4</v>
      </c>
      <c r="AR73">
        <v>3</v>
      </c>
      <c r="AS73">
        <v>5</v>
      </c>
      <c r="AT73">
        <v>4</v>
      </c>
    </row>
    <row r="74" spans="1:46" x14ac:dyDescent="0.3">
      <c r="A74">
        <v>2</v>
      </c>
      <c r="B74">
        <v>2</v>
      </c>
      <c r="C74">
        <v>2</v>
      </c>
      <c r="D74">
        <v>1</v>
      </c>
      <c r="E74">
        <v>2</v>
      </c>
      <c r="F74">
        <v>2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M74">
        <v>4</v>
      </c>
      <c r="N74">
        <v>4</v>
      </c>
      <c r="O74">
        <v>4</v>
      </c>
      <c r="P74">
        <v>4</v>
      </c>
      <c r="Q74">
        <v>4</v>
      </c>
      <c r="R74">
        <v>5</v>
      </c>
      <c r="S74">
        <v>4</v>
      </c>
      <c r="T74">
        <v>5</v>
      </c>
      <c r="U74">
        <v>4</v>
      </c>
      <c r="V74">
        <v>4</v>
      </c>
      <c r="W74">
        <v>4</v>
      </c>
      <c r="X74">
        <v>5</v>
      </c>
      <c r="Y74">
        <v>3</v>
      </c>
      <c r="Z74">
        <v>4</v>
      </c>
      <c r="AA74">
        <v>5</v>
      </c>
      <c r="AB74">
        <v>2</v>
      </c>
      <c r="AC74">
        <v>3</v>
      </c>
      <c r="AD74">
        <v>3</v>
      </c>
      <c r="AE74">
        <v>3</v>
      </c>
      <c r="AF74">
        <v>3</v>
      </c>
      <c r="AG74">
        <v>2</v>
      </c>
      <c r="AH74">
        <v>5</v>
      </c>
      <c r="AI74">
        <v>4</v>
      </c>
      <c r="AJ74">
        <v>5</v>
      </c>
      <c r="AK74">
        <v>5</v>
      </c>
      <c r="AL74">
        <v>4</v>
      </c>
      <c r="AM74">
        <v>5</v>
      </c>
      <c r="AN74">
        <v>5</v>
      </c>
      <c r="AO74">
        <v>2</v>
      </c>
      <c r="AP74">
        <v>4</v>
      </c>
      <c r="AQ74">
        <v>4</v>
      </c>
      <c r="AR74">
        <v>5</v>
      </c>
      <c r="AS74">
        <v>5</v>
      </c>
      <c r="AT74">
        <v>5</v>
      </c>
    </row>
    <row r="75" spans="1:46" x14ac:dyDescent="0.3">
      <c r="A75">
        <v>2</v>
      </c>
      <c r="B75">
        <v>2</v>
      </c>
      <c r="C75">
        <v>2</v>
      </c>
      <c r="D75">
        <v>1</v>
      </c>
      <c r="E75">
        <v>2</v>
      </c>
      <c r="F75">
        <v>2</v>
      </c>
      <c r="G75">
        <v>4</v>
      </c>
      <c r="H75">
        <v>4</v>
      </c>
      <c r="I75">
        <v>4</v>
      </c>
      <c r="J75">
        <v>3</v>
      </c>
      <c r="K75">
        <v>4</v>
      </c>
      <c r="L75">
        <v>2</v>
      </c>
      <c r="M75">
        <v>4</v>
      </c>
      <c r="N75">
        <v>2</v>
      </c>
      <c r="O75">
        <v>5</v>
      </c>
      <c r="P75">
        <v>4</v>
      </c>
      <c r="Q75">
        <v>2</v>
      </c>
      <c r="R75">
        <v>4</v>
      </c>
      <c r="S75">
        <v>4</v>
      </c>
      <c r="T75">
        <v>2</v>
      </c>
      <c r="U75">
        <v>4</v>
      </c>
      <c r="V75">
        <v>4</v>
      </c>
      <c r="W75">
        <v>4</v>
      </c>
      <c r="X75">
        <v>3</v>
      </c>
      <c r="Y75">
        <v>2</v>
      </c>
      <c r="Z75">
        <v>3</v>
      </c>
      <c r="AA75">
        <v>4</v>
      </c>
      <c r="AB75">
        <v>2</v>
      </c>
      <c r="AC75">
        <v>3</v>
      </c>
      <c r="AD75">
        <v>3</v>
      </c>
      <c r="AE75">
        <v>3</v>
      </c>
      <c r="AF75">
        <v>3</v>
      </c>
      <c r="AG75">
        <v>2</v>
      </c>
      <c r="AH75">
        <v>4</v>
      </c>
      <c r="AI75">
        <v>4</v>
      </c>
      <c r="AJ75">
        <v>4</v>
      </c>
      <c r="AK75">
        <v>3</v>
      </c>
      <c r="AL75">
        <v>3</v>
      </c>
      <c r="AM75">
        <v>3</v>
      </c>
      <c r="AN75">
        <v>4</v>
      </c>
      <c r="AO75">
        <v>2</v>
      </c>
      <c r="AP75">
        <v>4</v>
      </c>
      <c r="AQ75">
        <v>4</v>
      </c>
      <c r="AR75">
        <v>2</v>
      </c>
      <c r="AS75">
        <v>4</v>
      </c>
      <c r="AT75">
        <v>4</v>
      </c>
    </row>
    <row r="76" spans="1:46" x14ac:dyDescent="0.3">
      <c r="A76">
        <v>2</v>
      </c>
      <c r="B76">
        <v>2</v>
      </c>
      <c r="C76">
        <v>2</v>
      </c>
      <c r="D76">
        <v>1</v>
      </c>
      <c r="E76">
        <v>2</v>
      </c>
      <c r="F76">
        <v>2</v>
      </c>
      <c r="G76">
        <v>3</v>
      </c>
      <c r="H76">
        <v>5</v>
      </c>
      <c r="I76">
        <v>4</v>
      </c>
      <c r="J76">
        <v>4</v>
      </c>
      <c r="K76">
        <v>4</v>
      </c>
      <c r="L76">
        <v>3</v>
      </c>
      <c r="M76">
        <v>3</v>
      </c>
      <c r="N76">
        <v>4</v>
      </c>
      <c r="O76">
        <v>5</v>
      </c>
      <c r="P76">
        <v>5</v>
      </c>
      <c r="Q76">
        <v>5</v>
      </c>
      <c r="R76">
        <v>5</v>
      </c>
      <c r="S76">
        <v>5</v>
      </c>
      <c r="T76">
        <v>5</v>
      </c>
      <c r="U76">
        <v>5</v>
      </c>
      <c r="V76">
        <v>2</v>
      </c>
      <c r="W76">
        <v>3</v>
      </c>
      <c r="X76">
        <v>4</v>
      </c>
      <c r="Y76">
        <v>5</v>
      </c>
      <c r="Z76">
        <v>5</v>
      </c>
      <c r="AA76">
        <v>5</v>
      </c>
      <c r="AB76">
        <v>2</v>
      </c>
      <c r="AC76">
        <v>1</v>
      </c>
      <c r="AD76">
        <v>4</v>
      </c>
      <c r="AE76">
        <v>2</v>
      </c>
      <c r="AF76">
        <v>4</v>
      </c>
      <c r="AG76">
        <v>1</v>
      </c>
      <c r="AH76">
        <v>3</v>
      </c>
      <c r="AI76">
        <v>5</v>
      </c>
      <c r="AJ76">
        <v>5</v>
      </c>
      <c r="AK76">
        <v>5</v>
      </c>
      <c r="AL76">
        <v>5</v>
      </c>
      <c r="AM76">
        <v>4</v>
      </c>
      <c r="AN76">
        <v>5</v>
      </c>
      <c r="AO76">
        <v>2</v>
      </c>
      <c r="AP76">
        <v>3</v>
      </c>
      <c r="AQ76">
        <v>5</v>
      </c>
      <c r="AR76">
        <v>3</v>
      </c>
      <c r="AS76">
        <v>5</v>
      </c>
      <c r="AT76">
        <v>5</v>
      </c>
    </row>
    <row r="77" spans="1:46" x14ac:dyDescent="0.3">
      <c r="A77">
        <v>2</v>
      </c>
      <c r="B77">
        <v>2</v>
      </c>
      <c r="C77">
        <v>2</v>
      </c>
      <c r="D77">
        <v>1</v>
      </c>
      <c r="E77">
        <v>2</v>
      </c>
      <c r="F77">
        <v>2</v>
      </c>
      <c r="G77">
        <v>4</v>
      </c>
      <c r="H77">
        <v>4</v>
      </c>
      <c r="I77">
        <v>4</v>
      </c>
      <c r="J77">
        <v>4</v>
      </c>
      <c r="K77">
        <v>4</v>
      </c>
      <c r="L77">
        <v>3</v>
      </c>
      <c r="M77">
        <v>4</v>
      </c>
      <c r="N77">
        <v>4</v>
      </c>
      <c r="O77">
        <v>5</v>
      </c>
      <c r="P77">
        <v>4</v>
      </c>
      <c r="Q77">
        <v>5</v>
      </c>
      <c r="R77">
        <v>5</v>
      </c>
      <c r="S77">
        <v>4</v>
      </c>
      <c r="T77">
        <v>5</v>
      </c>
      <c r="U77">
        <v>5</v>
      </c>
      <c r="V77">
        <v>3</v>
      </c>
      <c r="W77">
        <v>4</v>
      </c>
      <c r="X77">
        <v>5</v>
      </c>
      <c r="Y77">
        <v>5</v>
      </c>
      <c r="Z77">
        <v>5</v>
      </c>
      <c r="AA77">
        <v>5</v>
      </c>
      <c r="AB77">
        <v>2</v>
      </c>
      <c r="AC77">
        <v>3</v>
      </c>
      <c r="AD77">
        <v>5</v>
      </c>
      <c r="AE77">
        <v>5</v>
      </c>
      <c r="AF77">
        <v>5</v>
      </c>
      <c r="AG77">
        <v>1</v>
      </c>
      <c r="AH77">
        <v>3</v>
      </c>
      <c r="AI77">
        <v>1</v>
      </c>
      <c r="AJ77">
        <v>5</v>
      </c>
      <c r="AK77">
        <v>5</v>
      </c>
      <c r="AL77">
        <v>4</v>
      </c>
      <c r="AM77">
        <v>3</v>
      </c>
      <c r="AN77">
        <v>5</v>
      </c>
      <c r="AO77">
        <v>5</v>
      </c>
      <c r="AP77">
        <v>5</v>
      </c>
      <c r="AQ77">
        <v>5</v>
      </c>
      <c r="AR77">
        <v>5</v>
      </c>
      <c r="AS77">
        <v>5</v>
      </c>
      <c r="AT77">
        <v>5</v>
      </c>
    </row>
    <row r="78" spans="1:46" x14ac:dyDescent="0.3">
      <c r="A78">
        <v>2</v>
      </c>
      <c r="B78">
        <v>2</v>
      </c>
      <c r="C78">
        <v>2</v>
      </c>
      <c r="D78">
        <v>1</v>
      </c>
      <c r="E78">
        <v>2</v>
      </c>
      <c r="F78">
        <v>1</v>
      </c>
      <c r="G78">
        <v>5</v>
      </c>
      <c r="H78">
        <v>5</v>
      </c>
      <c r="I78">
        <v>4</v>
      </c>
      <c r="J78">
        <v>4</v>
      </c>
      <c r="K78">
        <v>4</v>
      </c>
      <c r="L78">
        <v>4</v>
      </c>
      <c r="M78">
        <v>4</v>
      </c>
      <c r="N78">
        <v>4</v>
      </c>
      <c r="O78">
        <v>5</v>
      </c>
      <c r="P78">
        <v>5</v>
      </c>
      <c r="Q78">
        <v>5</v>
      </c>
      <c r="R78">
        <v>5</v>
      </c>
      <c r="S78">
        <v>5</v>
      </c>
      <c r="T78">
        <v>5</v>
      </c>
      <c r="U78">
        <v>4</v>
      </c>
      <c r="V78">
        <v>4</v>
      </c>
      <c r="W78">
        <v>2</v>
      </c>
      <c r="X78">
        <v>4</v>
      </c>
      <c r="Y78">
        <v>3</v>
      </c>
      <c r="Z78">
        <v>5</v>
      </c>
      <c r="AA78">
        <v>3</v>
      </c>
      <c r="AB78">
        <v>2</v>
      </c>
      <c r="AC78">
        <v>1</v>
      </c>
      <c r="AD78">
        <v>2</v>
      </c>
      <c r="AE78">
        <v>1</v>
      </c>
      <c r="AF78">
        <v>3</v>
      </c>
      <c r="AG78">
        <v>2</v>
      </c>
      <c r="AH78">
        <v>3</v>
      </c>
      <c r="AI78">
        <v>5</v>
      </c>
      <c r="AJ78">
        <v>4</v>
      </c>
      <c r="AK78">
        <v>4</v>
      </c>
      <c r="AL78">
        <v>5</v>
      </c>
      <c r="AM78">
        <v>5</v>
      </c>
      <c r="AN78">
        <v>5</v>
      </c>
      <c r="AO78">
        <v>4</v>
      </c>
      <c r="AP78">
        <v>3</v>
      </c>
      <c r="AQ78">
        <v>4</v>
      </c>
      <c r="AR78">
        <v>3</v>
      </c>
      <c r="AS78">
        <v>4</v>
      </c>
      <c r="AT78">
        <v>5</v>
      </c>
    </row>
    <row r="79" spans="1:46" x14ac:dyDescent="0.3">
      <c r="A79">
        <v>2</v>
      </c>
      <c r="B79">
        <v>1</v>
      </c>
      <c r="C79">
        <v>2</v>
      </c>
      <c r="D79">
        <v>1</v>
      </c>
      <c r="E79">
        <v>2</v>
      </c>
      <c r="F79">
        <v>2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M79">
        <v>3</v>
      </c>
      <c r="N79">
        <v>4</v>
      </c>
      <c r="O79">
        <v>4</v>
      </c>
      <c r="P79">
        <v>4</v>
      </c>
      <c r="Q79">
        <v>4</v>
      </c>
      <c r="R79">
        <v>5</v>
      </c>
      <c r="S79">
        <v>3</v>
      </c>
      <c r="T79">
        <v>3</v>
      </c>
      <c r="U79">
        <v>3</v>
      </c>
      <c r="V79">
        <v>3</v>
      </c>
      <c r="W79">
        <v>2</v>
      </c>
      <c r="X79">
        <v>4</v>
      </c>
      <c r="Y79">
        <v>5</v>
      </c>
      <c r="Z79">
        <v>4</v>
      </c>
      <c r="AA79">
        <v>3</v>
      </c>
      <c r="AB79">
        <v>1</v>
      </c>
      <c r="AC79">
        <v>4</v>
      </c>
      <c r="AD79">
        <v>4</v>
      </c>
      <c r="AE79">
        <v>2</v>
      </c>
      <c r="AF79">
        <v>3</v>
      </c>
      <c r="AG79">
        <v>1</v>
      </c>
      <c r="AH79">
        <v>5</v>
      </c>
      <c r="AI79">
        <v>4</v>
      </c>
      <c r="AJ79">
        <v>4</v>
      </c>
      <c r="AK79">
        <v>4</v>
      </c>
      <c r="AL79">
        <v>3</v>
      </c>
      <c r="AM79">
        <v>4</v>
      </c>
      <c r="AN79">
        <v>4</v>
      </c>
      <c r="AO79">
        <v>3</v>
      </c>
      <c r="AP79">
        <v>3</v>
      </c>
      <c r="AQ79">
        <v>4</v>
      </c>
      <c r="AR79">
        <v>3</v>
      </c>
      <c r="AS79">
        <v>4</v>
      </c>
      <c r="AT79">
        <v>4</v>
      </c>
    </row>
    <row r="80" spans="1:46" x14ac:dyDescent="0.3">
      <c r="A80">
        <v>5</v>
      </c>
      <c r="B80">
        <v>2</v>
      </c>
      <c r="C80">
        <v>1</v>
      </c>
      <c r="D80">
        <v>4</v>
      </c>
      <c r="E80">
        <v>1</v>
      </c>
      <c r="F80">
        <v>2</v>
      </c>
      <c r="G80">
        <v>4</v>
      </c>
      <c r="H80">
        <v>5</v>
      </c>
      <c r="I80">
        <v>5</v>
      </c>
      <c r="J80">
        <v>5</v>
      </c>
      <c r="K80">
        <v>4</v>
      </c>
      <c r="L80">
        <v>5</v>
      </c>
      <c r="M80">
        <v>4</v>
      </c>
      <c r="N80">
        <v>4</v>
      </c>
      <c r="O80">
        <v>5</v>
      </c>
      <c r="P80">
        <v>4</v>
      </c>
      <c r="Q80">
        <v>4</v>
      </c>
      <c r="R80">
        <v>5</v>
      </c>
      <c r="S80">
        <v>3</v>
      </c>
      <c r="T80">
        <v>4</v>
      </c>
      <c r="U80">
        <v>4</v>
      </c>
      <c r="V80">
        <v>3</v>
      </c>
      <c r="W80">
        <v>4</v>
      </c>
      <c r="X80">
        <v>4</v>
      </c>
      <c r="Y80">
        <v>4</v>
      </c>
      <c r="Z80">
        <v>4</v>
      </c>
      <c r="AA80">
        <v>5</v>
      </c>
      <c r="AB80">
        <v>4</v>
      </c>
      <c r="AC80">
        <v>5</v>
      </c>
      <c r="AD80">
        <v>4</v>
      </c>
      <c r="AE80">
        <v>5</v>
      </c>
      <c r="AF80">
        <v>4</v>
      </c>
      <c r="AG80">
        <v>1</v>
      </c>
      <c r="AH80">
        <v>3</v>
      </c>
      <c r="AI80">
        <v>4</v>
      </c>
      <c r="AJ80">
        <v>4</v>
      </c>
      <c r="AK80">
        <v>5</v>
      </c>
      <c r="AL80">
        <v>4</v>
      </c>
      <c r="AM80">
        <v>5</v>
      </c>
      <c r="AN80">
        <v>5</v>
      </c>
      <c r="AO80">
        <v>4</v>
      </c>
      <c r="AP80">
        <v>5</v>
      </c>
      <c r="AQ80">
        <v>5</v>
      </c>
      <c r="AR80">
        <v>3</v>
      </c>
      <c r="AS80">
        <v>4</v>
      </c>
      <c r="AT80">
        <v>5</v>
      </c>
    </row>
    <row r="81" spans="1:46" x14ac:dyDescent="0.3">
      <c r="A81">
        <v>5</v>
      </c>
      <c r="B81">
        <v>2</v>
      </c>
      <c r="C81">
        <v>1</v>
      </c>
      <c r="D81">
        <v>5</v>
      </c>
      <c r="E81">
        <v>1</v>
      </c>
      <c r="F81">
        <v>2</v>
      </c>
      <c r="G81">
        <v>2</v>
      </c>
      <c r="H81">
        <v>4</v>
      </c>
      <c r="I81">
        <v>5</v>
      </c>
      <c r="J81">
        <v>2</v>
      </c>
      <c r="K81">
        <v>2</v>
      </c>
      <c r="L81">
        <v>2</v>
      </c>
      <c r="M81">
        <v>2</v>
      </c>
      <c r="N81">
        <v>5</v>
      </c>
      <c r="O81">
        <v>4</v>
      </c>
      <c r="P81">
        <v>4</v>
      </c>
      <c r="Q81">
        <v>2</v>
      </c>
      <c r="R81">
        <v>4</v>
      </c>
      <c r="S81">
        <v>5</v>
      </c>
      <c r="T81">
        <v>4</v>
      </c>
      <c r="U81">
        <v>4</v>
      </c>
      <c r="V81">
        <v>4</v>
      </c>
      <c r="W81">
        <v>4</v>
      </c>
      <c r="X81">
        <v>5</v>
      </c>
      <c r="Y81">
        <v>4</v>
      </c>
      <c r="Z81">
        <v>2</v>
      </c>
      <c r="AA81">
        <v>5</v>
      </c>
      <c r="AB81">
        <v>1</v>
      </c>
      <c r="AC81">
        <v>4</v>
      </c>
      <c r="AD81">
        <v>3</v>
      </c>
      <c r="AE81">
        <v>2</v>
      </c>
      <c r="AF81">
        <v>2</v>
      </c>
      <c r="AG81">
        <v>1</v>
      </c>
      <c r="AH81">
        <v>4</v>
      </c>
      <c r="AI81">
        <v>4</v>
      </c>
      <c r="AJ81">
        <v>4</v>
      </c>
      <c r="AK81">
        <v>5</v>
      </c>
      <c r="AL81">
        <v>2</v>
      </c>
      <c r="AM81">
        <v>2</v>
      </c>
      <c r="AN81">
        <v>4</v>
      </c>
      <c r="AO81">
        <v>1</v>
      </c>
      <c r="AP81">
        <v>5</v>
      </c>
      <c r="AQ81">
        <v>4</v>
      </c>
      <c r="AR81">
        <v>1</v>
      </c>
      <c r="AS81">
        <v>5</v>
      </c>
      <c r="AT81">
        <v>5</v>
      </c>
    </row>
    <row r="82" spans="1:46" x14ac:dyDescent="0.3">
      <c r="A82">
        <v>3</v>
      </c>
      <c r="B82">
        <v>2</v>
      </c>
      <c r="C82">
        <v>1</v>
      </c>
      <c r="D82">
        <v>4</v>
      </c>
      <c r="E82">
        <v>1</v>
      </c>
      <c r="F82">
        <v>2</v>
      </c>
      <c r="G82">
        <v>5</v>
      </c>
      <c r="H82">
        <v>5</v>
      </c>
      <c r="I82">
        <v>4</v>
      </c>
      <c r="J82">
        <v>4</v>
      </c>
      <c r="K82">
        <v>5</v>
      </c>
      <c r="L82">
        <v>5</v>
      </c>
      <c r="M82">
        <v>4</v>
      </c>
      <c r="N82">
        <v>4</v>
      </c>
      <c r="O82">
        <v>4</v>
      </c>
      <c r="P82">
        <v>5</v>
      </c>
      <c r="Q82">
        <v>5</v>
      </c>
      <c r="R82">
        <v>4</v>
      </c>
      <c r="S82">
        <v>4</v>
      </c>
      <c r="T82">
        <v>5</v>
      </c>
      <c r="U82">
        <v>5</v>
      </c>
      <c r="V82">
        <v>4</v>
      </c>
      <c r="W82">
        <v>4</v>
      </c>
      <c r="X82">
        <v>3</v>
      </c>
      <c r="Y82">
        <v>4</v>
      </c>
      <c r="Z82">
        <v>3</v>
      </c>
      <c r="AA82">
        <v>4</v>
      </c>
      <c r="AB82">
        <v>2</v>
      </c>
      <c r="AC82">
        <v>3</v>
      </c>
      <c r="AD82">
        <v>3</v>
      </c>
      <c r="AE82">
        <v>3</v>
      </c>
      <c r="AF82">
        <v>4</v>
      </c>
      <c r="AG82">
        <v>2</v>
      </c>
      <c r="AH82">
        <v>2</v>
      </c>
      <c r="AI82">
        <v>4</v>
      </c>
      <c r="AJ82">
        <v>4</v>
      </c>
      <c r="AK82">
        <v>4</v>
      </c>
      <c r="AL82">
        <v>3</v>
      </c>
      <c r="AM82">
        <v>4</v>
      </c>
      <c r="AN82">
        <v>5</v>
      </c>
      <c r="AO82">
        <v>3</v>
      </c>
      <c r="AP82">
        <v>3</v>
      </c>
      <c r="AQ82">
        <v>3</v>
      </c>
      <c r="AR82">
        <v>3</v>
      </c>
      <c r="AS82">
        <v>4</v>
      </c>
      <c r="AT82">
        <v>3</v>
      </c>
    </row>
    <row r="83" spans="1:46" x14ac:dyDescent="0.3">
      <c r="A83">
        <v>2</v>
      </c>
      <c r="B83">
        <v>2</v>
      </c>
      <c r="C83">
        <v>2</v>
      </c>
      <c r="D83">
        <v>2</v>
      </c>
      <c r="E83">
        <v>2</v>
      </c>
      <c r="F83">
        <v>3</v>
      </c>
      <c r="G83">
        <v>4</v>
      </c>
      <c r="H83">
        <v>4</v>
      </c>
      <c r="I83">
        <v>4</v>
      </c>
      <c r="J83">
        <v>2</v>
      </c>
      <c r="K83">
        <v>3</v>
      </c>
      <c r="L83">
        <v>5</v>
      </c>
      <c r="M83">
        <v>5</v>
      </c>
      <c r="N83">
        <v>5</v>
      </c>
      <c r="O83">
        <v>2</v>
      </c>
      <c r="P83">
        <v>4</v>
      </c>
      <c r="Q83">
        <v>4</v>
      </c>
      <c r="R83">
        <v>4</v>
      </c>
      <c r="S83">
        <v>4</v>
      </c>
      <c r="T83">
        <v>4</v>
      </c>
      <c r="U83">
        <v>2</v>
      </c>
      <c r="V83">
        <v>4</v>
      </c>
      <c r="W83">
        <v>4</v>
      </c>
      <c r="X83">
        <v>2</v>
      </c>
      <c r="Y83">
        <v>1</v>
      </c>
      <c r="Z83">
        <v>5</v>
      </c>
      <c r="AA83">
        <v>4</v>
      </c>
      <c r="AB83">
        <v>1</v>
      </c>
      <c r="AC83">
        <v>1</v>
      </c>
      <c r="AD83">
        <v>4</v>
      </c>
      <c r="AE83">
        <v>1</v>
      </c>
      <c r="AF83">
        <v>1</v>
      </c>
      <c r="AG83">
        <v>1</v>
      </c>
      <c r="AH83">
        <v>5</v>
      </c>
      <c r="AI83">
        <v>5</v>
      </c>
      <c r="AJ83">
        <v>1</v>
      </c>
      <c r="AK83">
        <v>3</v>
      </c>
      <c r="AL83">
        <v>4</v>
      </c>
      <c r="AM83">
        <v>3</v>
      </c>
      <c r="AN83">
        <v>4</v>
      </c>
      <c r="AO83">
        <v>1</v>
      </c>
      <c r="AP83">
        <v>4</v>
      </c>
      <c r="AQ83">
        <v>4</v>
      </c>
      <c r="AR83">
        <v>5</v>
      </c>
      <c r="AS83">
        <v>5</v>
      </c>
      <c r="AT83">
        <v>4</v>
      </c>
    </row>
    <row r="84" spans="1:46" x14ac:dyDescent="0.3">
      <c r="A84">
        <v>2</v>
      </c>
      <c r="B84">
        <v>2</v>
      </c>
      <c r="C84">
        <v>1</v>
      </c>
      <c r="D84">
        <v>2</v>
      </c>
      <c r="E84">
        <v>2</v>
      </c>
      <c r="F84">
        <v>3</v>
      </c>
      <c r="G84">
        <v>3</v>
      </c>
      <c r="H84">
        <v>4</v>
      </c>
      <c r="I84">
        <v>4</v>
      </c>
      <c r="J84">
        <v>3</v>
      </c>
      <c r="K84">
        <v>3</v>
      </c>
      <c r="L84">
        <v>4</v>
      </c>
      <c r="M84">
        <v>4</v>
      </c>
      <c r="N84">
        <v>4</v>
      </c>
      <c r="O84">
        <v>4</v>
      </c>
      <c r="P84">
        <v>4</v>
      </c>
      <c r="Q84">
        <v>4</v>
      </c>
      <c r="R84">
        <v>4</v>
      </c>
      <c r="S84">
        <v>3</v>
      </c>
      <c r="T84">
        <v>4</v>
      </c>
      <c r="U84">
        <v>4</v>
      </c>
      <c r="V84">
        <v>3</v>
      </c>
      <c r="W84">
        <v>4</v>
      </c>
      <c r="X84">
        <v>4</v>
      </c>
      <c r="Y84">
        <v>4</v>
      </c>
      <c r="Z84">
        <v>4</v>
      </c>
      <c r="AA84">
        <v>3</v>
      </c>
      <c r="AB84">
        <v>2</v>
      </c>
      <c r="AC84">
        <v>3</v>
      </c>
      <c r="AD84">
        <v>4</v>
      </c>
      <c r="AE84">
        <v>2</v>
      </c>
      <c r="AF84">
        <v>4</v>
      </c>
      <c r="AG84">
        <v>5</v>
      </c>
      <c r="AH84">
        <v>3</v>
      </c>
      <c r="AI84">
        <v>3</v>
      </c>
      <c r="AJ84">
        <v>4</v>
      </c>
      <c r="AK84">
        <v>3</v>
      </c>
      <c r="AL84">
        <v>5</v>
      </c>
      <c r="AM84">
        <v>5</v>
      </c>
      <c r="AN84">
        <v>5</v>
      </c>
      <c r="AO84">
        <v>4</v>
      </c>
      <c r="AP84">
        <v>4</v>
      </c>
      <c r="AQ84">
        <v>4</v>
      </c>
      <c r="AR84">
        <v>5</v>
      </c>
      <c r="AS84">
        <v>4</v>
      </c>
      <c r="AT84">
        <v>5</v>
      </c>
    </row>
    <row r="85" spans="1:46" x14ac:dyDescent="0.3">
      <c r="A85">
        <v>2</v>
      </c>
      <c r="B85">
        <v>2</v>
      </c>
      <c r="C85">
        <v>2</v>
      </c>
      <c r="D85">
        <v>2</v>
      </c>
      <c r="E85">
        <v>2</v>
      </c>
      <c r="F85">
        <v>2</v>
      </c>
      <c r="G85">
        <v>4</v>
      </c>
      <c r="H85">
        <v>4</v>
      </c>
      <c r="I85">
        <v>5</v>
      </c>
      <c r="J85">
        <v>3</v>
      </c>
      <c r="K85">
        <v>4</v>
      </c>
      <c r="L85">
        <v>4</v>
      </c>
      <c r="M85">
        <v>5</v>
      </c>
      <c r="N85">
        <v>4</v>
      </c>
      <c r="O85">
        <v>4</v>
      </c>
      <c r="P85">
        <v>5</v>
      </c>
      <c r="Q85">
        <v>5</v>
      </c>
      <c r="R85">
        <v>5</v>
      </c>
      <c r="S85">
        <v>4</v>
      </c>
      <c r="T85">
        <v>5</v>
      </c>
      <c r="U85">
        <v>4</v>
      </c>
      <c r="V85">
        <v>5</v>
      </c>
      <c r="W85">
        <v>4</v>
      </c>
      <c r="X85">
        <v>4</v>
      </c>
      <c r="Y85">
        <v>1</v>
      </c>
      <c r="Z85">
        <v>5</v>
      </c>
      <c r="AA85">
        <v>4</v>
      </c>
      <c r="AB85">
        <v>2</v>
      </c>
      <c r="AC85">
        <v>4</v>
      </c>
      <c r="AD85">
        <v>4</v>
      </c>
      <c r="AE85">
        <v>5</v>
      </c>
      <c r="AF85">
        <v>5</v>
      </c>
      <c r="AG85">
        <v>4</v>
      </c>
      <c r="AH85">
        <v>4</v>
      </c>
      <c r="AI85">
        <v>5</v>
      </c>
      <c r="AJ85">
        <v>5</v>
      </c>
      <c r="AK85">
        <v>4</v>
      </c>
      <c r="AL85">
        <v>5</v>
      </c>
      <c r="AM85">
        <v>5</v>
      </c>
      <c r="AN85">
        <v>5</v>
      </c>
      <c r="AO85">
        <v>5</v>
      </c>
      <c r="AP85">
        <v>5</v>
      </c>
      <c r="AQ85">
        <v>4</v>
      </c>
      <c r="AR85">
        <v>1</v>
      </c>
      <c r="AS85">
        <v>4</v>
      </c>
      <c r="AT85">
        <v>5</v>
      </c>
    </row>
    <row r="86" spans="1:46" x14ac:dyDescent="0.3">
      <c r="A86">
        <v>6</v>
      </c>
      <c r="B86">
        <v>2</v>
      </c>
      <c r="C86">
        <v>3</v>
      </c>
      <c r="D86">
        <v>5</v>
      </c>
      <c r="E86">
        <v>4</v>
      </c>
      <c r="F86">
        <v>2</v>
      </c>
      <c r="G86">
        <v>3</v>
      </c>
      <c r="H86">
        <v>4</v>
      </c>
      <c r="I86">
        <v>4</v>
      </c>
      <c r="J86">
        <v>4</v>
      </c>
      <c r="K86">
        <v>4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3</v>
      </c>
      <c r="T86">
        <v>5</v>
      </c>
      <c r="U86">
        <v>5</v>
      </c>
      <c r="V86">
        <v>4</v>
      </c>
      <c r="W86">
        <v>4</v>
      </c>
      <c r="X86">
        <v>5</v>
      </c>
      <c r="Y86">
        <v>5</v>
      </c>
      <c r="Z86">
        <v>4</v>
      </c>
      <c r="AA86">
        <v>5</v>
      </c>
      <c r="AB86">
        <v>3</v>
      </c>
      <c r="AC86">
        <v>3</v>
      </c>
      <c r="AD86">
        <v>4</v>
      </c>
      <c r="AE86">
        <v>3</v>
      </c>
      <c r="AF86">
        <v>5</v>
      </c>
      <c r="AG86">
        <v>2</v>
      </c>
      <c r="AH86">
        <v>3</v>
      </c>
      <c r="AI86">
        <v>4</v>
      </c>
      <c r="AJ86">
        <v>4</v>
      </c>
      <c r="AK86">
        <v>5</v>
      </c>
      <c r="AL86">
        <v>5</v>
      </c>
      <c r="AM86">
        <v>5</v>
      </c>
      <c r="AN86">
        <v>5</v>
      </c>
      <c r="AO86">
        <v>1</v>
      </c>
      <c r="AP86">
        <v>5</v>
      </c>
      <c r="AQ86">
        <v>4</v>
      </c>
      <c r="AR86">
        <v>2</v>
      </c>
      <c r="AS86">
        <v>5</v>
      </c>
      <c r="AT86">
        <v>5</v>
      </c>
    </row>
    <row r="87" spans="1:46" x14ac:dyDescent="0.3">
      <c r="A87">
        <v>6</v>
      </c>
      <c r="B87">
        <v>2</v>
      </c>
      <c r="C87">
        <v>1</v>
      </c>
      <c r="D87">
        <v>5</v>
      </c>
      <c r="E87">
        <v>2</v>
      </c>
      <c r="F87">
        <v>2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M87">
        <v>4</v>
      </c>
      <c r="N87">
        <v>4</v>
      </c>
      <c r="O87">
        <v>4</v>
      </c>
      <c r="P87">
        <v>4</v>
      </c>
      <c r="Q87">
        <v>3</v>
      </c>
      <c r="R87">
        <v>4</v>
      </c>
      <c r="S87">
        <v>4</v>
      </c>
      <c r="T87">
        <v>4</v>
      </c>
      <c r="U87">
        <v>4</v>
      </c>
      <c r="V87">
        <v>4</v>
      </c>
      <c r="W87">
        <v>4</v>
      </c>
      <c r="X87">
        <v>4</v>
      </c>
      <c r="Y87">
        <v>4</v>
      </c>
      <c r="Z87">
        <v>4</v>
      </c>
      <c r="AA87">
        <v>4</v>
      </c>
      <c r="AB87">
        <v>4</v>
      </c>
      <c r="AC87">
        <v>4</v>
      </c>
      <c r="AD87">
        <v>4</v>
      </c>
      <c r="AE87">
        <v>4</v>
      </c>
      <c r="AF87">
        <v>4</v>
      </c>
      <c r="AG87">
        <v>4</v>
      </c>
      <c r="AH87">
        <v>4</v>
      </c>
      <c r="AI87">
        <v>4</v>
      </c>
      <c r="AJ87">
        <v>4</v>
      </c>
      <c r="AK87">
        <v>4</v>
      </c>
      <c r="AL87">
        <v>4</v>
      </c>
      <c r="AM87">
        <v>4</v>
      </c>
      <c r="AN87">
        <v>4</v>
      </c>
      <c r="AO87">
        <v>3</v>
      </c>
      <c r="AP87">
        <v>4</v>
      </c>
      <c r="AQ87">
        <v>4</v>
      </c>
      <c r="AR87">
        <v>4</v>
      </c>
      <c r="AS87">
        <v>4</v>
      </c>
      <c r="AT87">
        <v>4</v>
      </c>
    </row>
    <row r="88" spans="1:46" x14ac:dyDescent="0.3">
      <c r="A88">
        <v>3</v>
      </c>
      <c r="B88">
        <v>2</v>
      </c>
      <c r="C88">
        <v>1</v>
      </c>
      <c r="D88">
        <v>2</v>
      </c>
      <c r="E88">
        <v>1</v>
      </c>
      <c r="F88">
        <v>2</v>
      </c>
      <c r="G88">
        <v>5</v>
      </c>
      <c r="H88">
        <v>5</v>
      </c>
      <c r="I88">
        <v>4</v>
      </c>
      <c r="J88">
        <v>4</v>
      </c>
      <c r="K88">
        <v>5</v>
      </c>
      <c r="L88">
        <v>4</v>
      </c>
      <c r="M88">
        <v>3</v>
      </c>
      <c r="N88">
        <v>5</v>
      </c>
      <c r="O88">
        <v>5</v>
      </c>
      <c r="P88">
        <v>5</v>
      </c>
      <c r="Q88">
        <v>5</v>
      </c>
      <c r="R88">
        <v>5</v>
      </c>
      <c r="S88">
        <v>4</v>
      </c>
      <c r="T88">
        <v>5</v>
      </c>
      <c r="U88">
        <v>4</v>
      </c>
      <c r="V88">
        <v>2</v>
      </c>
      <c r="W88">
        <v>3</v>
      </c>
      <c r="X88">
        <v>4</v>
      </c>
      <c r="Y88">
        <v>5</v>
      </c>
      <c r="Z88">
        <v>5</v>
      </c>
      <c r="AA88">
        <v>5</v>
      </c>
      <c r="AB88">
        <v>3</v>
      </c>
      <c r="AC88">
        <v>4</v>
      </c>
      <c r="AD88">
        <v>4</v>
      </c>
      <c r="AE88">
        <v>4</v>
      </c>
      <c r="AF88">
        <v>4</v>
      </c>
      <c r="AG88">
        <v>5</v>
      </c>
      <c r="AH88">
        <v>3</v>
      </c>
      <c r="AI88">
        <v>4</v>
      </c>
      <c r="AJ88">
        <v>5</v>
      </c>
      <c r="AK88">
        <v>5</v>
      </c>
      <c r="AL88">
        <v>5</v>
      </c>
      <c r="AM88">
        <v>5</v>
      </c>
      <c r="AN88">
        <v>5</v>
      </c>
      <c r="AO88">
        <v>1</v>
      </c>
      <c r="AP88">
        <v>4</v>
      </c>
      <c r="AQ88">
        <v>5</v>
      </c>
      <c r="AR88">
        <v>4</v>
      </c>
      <c r="AS88">
        <v>4</v>
      </c>
      <c r="AT88">
        <v>5</v>
      </c>
    </row>
    <row r="89" spans="1:46" x14ac:dyDescent="0.3">
      <c r="A89">
        <v>6</v>
      </c>
      <c r="B89">
        <v>2</v>
      </c>
      <c r="C89">
        <v>3</v>
      </c>
      <c r="D89">
        <v>5</v>
      </c>
      <c r="E89">
        <v>4</v>
      </c>
      <c r="F89">
        <v>2</v>
      </c>
      <c r="G89">
        <v>4</v>
      </c>
      <c r="H89">
        <v>4</v>
      </c>
      <c r="I89">
        <v>4</v>
      </c>
      <c r="J89">
        <v>4</v>
      </c>
      <c r="K89">
        <v>4</v>
      </c>
      <c r="L89">
        <v>3</v>
      </c>
      <c r="M89">
        <v>3</v>
      </c>
      <c r="N89">
        <v>4</v>
      </c>
      <c r="O89">
        <v>5</v>
      </c>
      <c r="P89">
        <v>4</v>
      </c>
      <c r="Q89">
        <v>3</v>
      </c>
      <c r="R89">
        <v>5</v>
      </c>
      <c r="S89">
        <v>4</v>
      </c>
      <c r="T89">
        <v>4</v>
      </c>
      <c r="U89">
        <v>3</v>
      </c>
      <c r="V89">
        <v>4</v>
      </c>
      <c r="W89">
        <v>4</v>
      </c>
      <c r="X89">
        <v>4</v>
      </c>
      <c r="Y89">
        <v>3</v>
      </c>
      <c r="Z89">
        <v>4</v>
      </c>
      <c r="AA89">
        <v>4</v>
      </c>
      <c r="AB89">
        <v>3</v>
      </c>
      <c r="AC89">
        <v>4</v>
      </c>
      <c r="AD89">
        <v>4</v>
      </c>
      <c r="AE89">
        <v>4</v>
      </c>
      <c r="AF89">
        <v>5</v>
      </c>
      <c r="AG89">
        <v>3</v>
      </c>
      <c r="AH89">
        <v>2</v>
      </c>
      <c r="AI89">
        <v>4</v>
      </c>
      <c r="AJ89">
        <v>4</v>
      </c>
      <c r="AK89">
        <v>4</v>
      </c>
      <c r="AL89">
        <v>3</v>
      </c>
      <c r="AM89">
        <v>4</v>
      </c>
      <c r="AN89">
        <v>4</v>
      </c>
      <c r="AO89">
        <v>4</v>
      </c>
      <c r="AP89">
        <v>4</v>
      </c>
      <c r="AQ89">
        <v>4</v>
      </c>
      <c r="AR89">
        <v>3</v>
      </c>
      <c r="AS89">
        <v>4</v>
      </c>
      <c r="AT89">
        <v>4</v>
      </c>
    </row>
    <row r="90" spans="1:46" x14ac:dyDescent="0.3">
      <c r="A90">
        <v>3</v>
      </c>
      <c r="B90">
        <v>2</v>
      </c>
      <c r="C90">
        <v>2</v>
      </c>
      <c r="D90">
        <v>3</v>
      </c>
      <c r="E90">
        <v>2</v>
      </c>
      <c r="F90">
        <v>1</v>
      </c>
      <c r="G90">
        <v>3</v>
      </c>
      <c r="H90">
        <v>4</v>
      </c>
      <c r="I90">
        <v>5</v>
      </c>
      <c r="J90">
        <v>3</v>
      </c>
      <c r="K90">
        <v>2</v>
      </c>
      <c r="L90">
        <v>3</v>
      </c>
      <c r="M90">
        <v>4</v>
      </c>
      <c r="N90">
        <v>4</v>
      </c>
      <c r="O90">
        <v>3</v>
      </c>
      <c r="P90">
        <v>4</v>
      </c>
      <c r="Q90">
        <v>4</v>
      </c>
      <c r="R90">
        <v>4</v>
      </c>
      <c r="S90">
        <v>5</v>
      </c>
      <c r="T90">
        <v>5</v>
      </c>
      <c r="U90">
        <v>4</v>
      </c>
      <c r="V90">
        <v>4</v>
      </c>
      <c r="W90">
        <v>4</v>
      </c>
      <c r="X90">
        <v>4</v>
      </c>
      <c r="Y90">
        <v>3</v>
      </c>
      <c r="Z90">
        <v>4</v>
      </c>
      <c r="AA90">
        <v>3</v>
      </c>
      <c r="AB90">
        <v>1</v>
      </c>
      <c r="AC90">
        <v>2</v>
      </c>
      <c r="AD90">
        <v>3</v>
      </c>
      <c r="AE90">
        <v>3</v>
      </c>
      <c r="AF90">
        <v>4</v>
      </c>
      <c r="AG90">
        <v>3</v>
      </c>
      <c r="AH90">
        <v>4</v>
      </c>
      <c r="AI90">
        <v>4</v>
      </c>
      <c r="AJ90">
        <v>4</v>
      </c>
      <c r="AK90">
        <v>4</v>
      </c>
      <c r="AL90">
        <v>3</v>
      </c>
      <c r="AM90">
        <v>4</v>
      </c>
      <c r="AN90">
        <v>4</v>
      </c>
      <c r="AO90">
        <v>1</v>
      </c>
      <c r="AP90">
        <v>4</v>
      </c>
      <c r="AQ90">
        <v>4</v>
      </c>
      <c r="AR90">
        <v>3</v>
      </c>
      <c r="AS90">
        <v>4</v>
      </c>
      <c r="AT90">
        <v>4</v>
      </c>
    </row>
    <row r="91" spans="1:46" x14ac:dyDescent="0.3">
      <c r="A91">
        <v>3</v>
      </c>
      <c r="B91">
        <v>2</v>
      </c>
      <c r="C91">
        <v>2</v>
      </c>
      <c r="D91">
        <v>3</v>
      </c>
      <c r="E91">
        <v>2</v>
      </c>
      <c r="F91">
        <v>2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M91">
        <v>3</v>
      </c>
      <c r="N91">
        <v>4</v>
      </c>
      <c r="O91">
        <v>4</v>
      </c>
      <c r="P91">
        <v>4</v>
      </c>
      <c r="Q91">
        <v>4</v>
      </c>
      <c r="R91">
        <v>4</v>
      </c>
      <c r="S91">
        <v>4</v>
      </c>
      <c r="T91">
        <v>4</v>
      </c>
      <c r="U91">
        <v>4</v>
      </c>
      <c r="V91">
        <v>2</v>
      </c>
      <c r="W91">
        <v>4</v>
      </c>
      <c r="X91">
        <v>4</v>
      </c>
      <c r="Y91">
        <v>2</v>
      </c>
      <c r="Z91">
        <v>3</v>
      </c>
      <c r="AA91">
        <v>4</v>
      </c>
      <c r="AB91">
        <v>2</v>
      </c>
      <c r="AC91">
        <v>3</v>
      </c>
      <c r="AD91">
        <v>3</v>
      </c>
      <c r="AE91">
        <v>4</v>
      </c>
      <c r="AF91">
        <v>4</v>
      </c>
      <c r="AG91">
        <v>2</v>
      </c>
      <c r="AH91">
        <v>4</v>
      </c>
      <c r="AI91">
        <v>4</v>
      </c>
      <c r="AJ91">
        <v>4</v>
      </c>
      <c r="AK91">
        <v>4</v>
      </c>
      <c r="AL91">
        <v>4</v>
      </c>
      <c r="AM91">
        <v>4</v>
      </c>
      <c r="AN91">
        <v>4</v>
      </c>
      <c r="AO91">
        <v>2</v>
      </c>
      <c r="AP91">
        <v>5</v>
      </c>
      <c r="AQ91">
        <v>4</v>
      </c>
      <c r="AR91">
        <v>4</v>
      </c>
      <c r="AS91">
        <v>4</v>
      </c>
      <c r="AT91">
        <v>4</v>
      </c>
    </row>
    <row r="92" spans="1:46" x14ac:dyDescent="0.3">
      <c r="A92">
        <v>3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5</v>
      </c>
      <c r="I92">
        <v>5</v>
      </c>
      <c r="J92">
        <v>2</v>
      </c>
      <c r="K92">
        <v>3</v>
      </c>
      <c r="L92">
        <v>3</v>
      </c>
      <c r="M92">
        <v>5</v>
      </c>
      <c r="N92">
        <v>5</v>
      </c>
      <c r="O92">
        <v>5</v>
      </c>
      <c r="P92">
        <v>4</v>
      </c>
      <c r="Q92">
        <v>4</v>
      </c>
      <c r="R92">
        <v>5</v>
      </c>
      <c r="S92">
        <v>5</v>
      </c>
      <c r="T92">
        <v>4</v>
      </c>
      <c r="U92">
        <v>2</v>
      </c>
      <c r="V92">
        <v>3</v>
      </c>
      <c r="W92">
        <v>4</v>
      </c>
      <c r="X92">
        <v>4</v>
      </c>
      <c r="Y92">
        <v>5</v>
      </c>
      <c r="Z92">
        <v>4</v>
      </c>
      <c r="AA92">
        <v>5</v>
      </c>
      <c r="AB92">
        <v>1</v>
      </c>
      <c r="AC92">
        <v>4</v>
      </c>
      <c r="AD92">
        <v>3</v>
      </c>
      <c r="AE92">
        <v>3</v>
      </c>
      <c r="AF92">
        <v>3</v>
      </c>
      <c r="AG92">
        <v>1</v>
      </c>
      <c r="AH92">
        <v>3</v>
      </c>
      <c r="AI92">
        <v>5</v>
      </c>
      <c r="AJ92">
        <v>4</v>
      </c>
      <c r="AK92">
        <v>4</v>
      </c>
      <c r="AL92">
        <v>4</v>
      </c>
      <c r="AM92">
        <v>5</v>
      </c>
      <c r="AN92">
        <v>5</v>
      </c>
      <c r="AO92">
        <v>3</v>
      </c>
      <c r="AP92">
        <v>4</v>
      </c>
      <c r="AQ92">
        <v>5</v>
      </c>
      <c r="AR92">
        <v>5</v>
      </c>
      <c r="AS92">
        <v>3</v>
      </c>
      <c r="AT92">
        <v>4</v>
      </c>
    </row>
    <row r="93" spans="1:46" x14ac:dyDescent="0.3">
      <c r="A93">
        <v>3</v>
      </c>
      <c r="B93">
        <v>2</v>
      </c>
      <c r="C93">
        <v>2</v>
      </c>
      <c r="D93">
        <v>2</v>
      </c>
      <c r="E93">
        <v>2</v>
      </c>
      <c r="F93">
        <v>2</v>
      </c>
      <c r="G93">
        <v>3</v>
      </c>
      <c r="H93">
        <v>5</v>
      </c>
      <c r="I93">
        <v>4</v>
      </c>
      <c r="J93">
        <v>3</v>
      </c>
      <c r="K93">
        <v>4</v>
      </c>
      <c r="L93">
        <v>3</v>
      </c>
      <c r="M93">
        <v>3</v>
      </c>
      <c r="N93">
        <v>4</v>
      </c>
      <c r="O93">
        <v>4</v>
      </c>
      <c r="P93">
        <v>4</v>
      </c>
      <c r="Q93">
        <v>4</v>
      </c>
      <c r="R93">
        <v>4</v>
      </c>
      <c r="S93">
        <v>3</v>
      </c>
      <c r="T93">
        <v>5</v>
      </c>
      <c r="U93">
        <v>4</v>
      </c>
      <c r="V93">
        <v>3</v>
      </c>
      <c r="W93">
        <v>3</v>
      </c>
      <c r="X93">
        <v>4</v>
      </c>
      <c r="Y93">
        <v>5</v>
      </c>
      <c r="Z93">
        <v>3</v>
      </c>
      <c r="AA93">
        <v>5</v>
      </c>
      <c r="AB93">
        <v>3</v>
      </c>
      <c r="AC93">
        <v>4</v>
      </c>
      <c r="AD93">
        <v>4</v>
      </c>
      <c r="AE93">
        <v>3</v>
      </c>
      <c r="AF93">
        <v>4</v>
      </c>
      <c r="AG93">
        <v>1</v>
      </c>
      <c r="AH93">
        <v>2</v>
      </c>
      <c r="AI93">
        <v>5</v>
      </c>
      <c r="AJ93">
        <v>5</v>
      </c>
      <c r="AK93">
        <v>5</v>
      </c>
      <c r="AL93">
        <v>2</v>
      </c>
      <c r="AM93">
        <v>4</v>
      </c>
      <c r="AN93">
        <v>5</v>
      </c>
      <c r="AO93">
        <v>1</v>
      </c>
      <c r="AP93">
        <v>5</v>
      </c>
      <c r="AQ93">
        <v>3</v>
      </c>
      <c r="AR93">
        <v>3</v>
      </c>
      <c r="AS93">
        <v>5</v>
      </c>
      <c r="AT93">
        <v>4</v>
      </c>
    </row>
    <row r="94" spans="1:46" x14ac:dyDescent="0.3">
      <c r="A94">
        <v>4</v>
      </c>
      <c r="B94">
        <v>2</v>
      </c>
      <c r="C94">
        <v>2</v>
      </c>
      <c r="D94">
        <v>4</v>
      </c>
      <c r="E94">
        <v>2</v>
      </c>
      <c r="F94">
        <v>3</v>
      </c>
      <c r="G94">
        <v>5</v>
      </c>
      <c r="H94">
        <v>4</v>
      </c>
      <c r="I94">
        <v>4</v>
      </c>
      <c r="J94">
        <v>4</v>
      </c>
      <c r="K94">
        <v>4</v>
      </c>
      <c r="L94">
        <v>2</v>
      </c>
      <c r="M94">
        <v>5</v>
      </c>
      <c r="N94">
        <v>4</v>
      </c>
      <c r="O94">
        <v>5</v>
      </c>
      <c r="P94">
        <v>5</v>
      </c>
      <c r="Q94">
        <v>5</v>
      </c>
      <c r="R94">
        <v>5</v>
      </c>
      <c r="S94">
        <v>5</v>
      </c>
      <c r="T94">
        <v>5</v>
      </c>
      <c r="U94">
        <v>4</v>
      </c>
      <c r="V94">
        <v>3</v>
      </c>
      <c r="W94">
        <v>3</v>
      </c>
      <c r="X94">
        <v>4</v>
      </c>
      <c r="Y94">
        <v>4</v>
      </c>
      <c r="Z94">
        <v>3</v>
      </c>
      <c r="AA94">
        <v>4</v>
      </c>
      <c r="AB94">
        <v>3</v>
      </c>
      <c r="AC94">
        <v>4</v>
      </c>
      <c r="AD94">
        <v>3</v>
      </c>
      <c r="AE94">
        <v>3</v>
      </c>
      <c r="AF94">
        <v>4</v>
      </c>
      <c r="AG94">
        <v>3</v>
      </c>
      <c r="AH94">
        <v>3</v>
      </c>
      <c r="AI94">
        <v>3</v>
      </c>
      <c r="AJ94">
        <v>3</v>
      </c>
      <c r="AK94">
        <v>4</v>
      </c>
      <c r="AL94">
        <v>4</v>
      </c>
      <c r="AM94">
        <v>4</v>
      </c>
      <c r="AN94">
        <v>5</v>
      </c>
      <c r="AO94">
        <v>4</v>
      </c>
      <c r="AP94">
        <v>4</v>
      </c>
      <c r="AQ94">
        <v>4</v>
      </c>
      <c r="AR94">
        <v>4</v>
      </c>
      <c r="AS94">
        <v>4</v>
      </c>
      <c r="AT94">
        <v>4</v>
      </c>
    </row>
    <row r="95" spans="1:46" x14ac:dyDescent="0.3">
      <c r="A95">
        <v>4</v>
      </c>
      <c r="B95">
        <v>2</v>
      </c>
      <c r="C95">
        <v>3</v>
      </c>
      <c r="D95">
        <v>5</v>
      </c>
      <c r="E95">
        <v>4</v>
      </c>
      <c r="F95">
        <v>3</v>
      </c>
      <c r="G95">
        <v>4</v>
      </c>
      <c r="H95">
        <v>4</v>
      </c>
      <c r="I95">
        <v>5</v>
      </c>
      <c r="J95">
        <v>3</v>
      </c>
      <c r="K95">
        <v>4</v>
      </c>
      <c r="L95">
        <v>3</v>
      </c>
      <c r="M95">
        <v>4</v>
      </c>
      <c r="N95">
        <v>5</v>
      </c>
      <c r="O95">
        <v>5</v>
      </c>
      <c r="P95">
        <v>5</v>
      </c>
      <c r="Q95">
        <v>5</v>
      </c>
      <c r="R95">
        <v>5</v>
      </c>
      <c r="S95">
        <v>3</v>
      </c>
      <c r="T95">
        <v>5</v>
      </c>
      <c r="U95">
        <v>5</v>
      </c>
      <c r="V95">
        <v>3</v>
      </c>
      <c r="W95">
        <v>4</v>
      </c>
      <c r="X95">
        <v>5</v>
      </c>
      <c r="Y95">
        <v>3</v>
      </c>
      <c r="Z95">
        <v>3</v>
      </c>
      <c r="AA95">
        <v>4</v>
      </c>
      <c r="AB95">
        <v>1</v>
      </c>
      <c r="AC95">
        <v>1</v>
      </c>
      <c r="AD95">
        <v>4</v>
      </c>
      <c r="AE95">
        <v>3</v>
      </c>
      <c r="AF95">
        <v>3</v>
      </c>
      <c r="AG95">
        <v>1</v>
      </c>
      <c r="AH95">
        <v>3</v>
      </c>
      <c r="AI95">
        <v>5</v>
      </c>
      <c r="AJ95">
        <v>5</v>
      </c>
      <c r="AK95">
        <v>4</v>
      </c>
      <c r="AL95">
        <v>3</v>
      </c>
      <c r="AM95">
        <v>4</v>
      </c>
      <c r="AN95">
        <v>5</v>
      </c>
      <c r="AO95">
        <v>5</v>
      </c>
      <c r="AP95">
        <v>5</v>
      </c>
      <c r="AQ95">
        <v>5</v>
      </c>
      <c r="AR95">
        <v>5</v>
      </c>
      <c r="AS95">
        <v>5</v>
      </c>
      <c r="AT95">
        <v>5</v>
      </c>
    </row>
    <row r="96" spans="1:46" x14ac:dyDescent="0.3">
      <c r="A96">
        <v>2</v>
      </c>
      <c r="B96">
        <v>2</v>
      </c>
      <c r="C96">
        <v>2</v>
      </c>
      <c r="D96">
        <v>2</v>
      </c>
      <c r="E96">
        <v>2</v>
      </c>
      <c r="F96">
        <v>3</v>
      </c>
      <c r="G96">
        <v>3</v>
      </c>
      <c r="H96">
        <v>5</v>
      </c>
      <c r="I96">
        <v>3</v>
      </c>
      <c r="J96">
        <v>4</v>
      </c>
      <c r="K96">
        <v>5</v>
      </c>
      <c r="L96">
        <v>2</v>
      </c>
      <c r="M96">
        <v>5</v>
      </c>
      <c r="N96">
        <v>5</v>
      </c>
      <c r="O96">
        <v>5</v>
      </c>
      <c r="P96">
        <v>4</v>
      </c>
      <c r="Q96">
        <v>4</v>
      </c>
      <c r="R96">
        <v>3</v>
      </c>
      <c r="S96">
        <v>3</v>
      </c>
      <c r="T96">
        <v>5</v>
      </c>
      <c r="U96">
        <v>5</v>
      </c>
      <c r="V96">
        <v>4</v>
      </c>
      <c r="W96">
        <v>4</v>
      </c>
      <c r="X96">
        <v>4</v>
      </c>
      <c r="Y96">
        <v>5</v>
      </c>
      <c r="Z96">
        <v>4</v>
      </c>
      <c r="AA96">
        <v>4</v>
      </c>
      <c r="AB96">
        <v>2</v>
      </c>
      <c r="AC96">
        <v>5</v>
      </c>
      <c r="AD96">
        <v>4</v>
      </c>
      <c r="AE96">
        <v>4</v>
      </c>
      <c r="AF96">
        <v>3</v>
      </c>
      <c r="AG96">
        <v>2</v>
      </c>
      <c r="AH96">
        <v>3</v>
      </c>
      <c r="AI96">
        <v>4</v>
      </c>
      <c r="AJ96">
        <v>5</v>
      </c>
      <c r="AK96">
        <v>5</v>
      </c>
      <c r="AL96">
        <v>5</v>
      </c>
      <c r="AM96">
        <v>5</v>
      </c>
      <c r="AN96">
        <v>5</v>
      </c>
      <c r="AO96">
        <v>1</v>
      </c>
      <c r="AP96">
        <v>5</v>
      </c>
      <c r="AQ96">
        <v>4</v>
      </c>
      <c r="AR96">
        <v>5</v>
      </c>
      <c r="AS96">
        <v>5</v>
      </c>
      <c r="AT96">
        <v>5</v>
      </c>
    </row>
    <row r="97" spans="1:46" x14ac:dyDescent="0.3">
      <c r="A97">
        <v>4</v>
      </c>
      <c r="B97">
        <v>2</v>
      </c>
      <c r="C97">
        <v>3</v>
      </c>
      <c r="D97">
        <v>5</v>
      </c>
      <c r="E97">
        <v>4</v>
      </c>
      <c r="F97">
        <v>2</v>
      </c>
      <c r="G97">
        <v>2</v>
      </c>
      <c r="H97">
        <v>4</v>
      </c>
      <c r="I97">
        <v>4</v>
      </c>
      <c r="J97">
        <v>2</v>
      </c>
      <c r="K97">
        <v>2</v>
      </c>
      <c r="L97">
        <v>4</v>
      </c>
      <c r="M97">
        <v>4</v>
      </c>
      <c r="N97">
        <v>4</v>
      </c>
      <c r="O97">
        <v>4</v>
      </c>
      <c r="P97">
        <v>4</v>
      </c>
      <c r="Q97">
        <v>2</v>
      </c>
      <c r="R97">
        <v>5</v>
      </c>
      <c r="S97">
        <v>4</v>
      </c>
      <c r="T97">
        <v>4</v>
      </c>
      <c r="U97">
        <v>5</v>
      </c>
      <c r="V97">
        <v>2</v>
      </c>
      <c r="W97">
        <v>4</v>
      </c>
      <c r="X97">
        <v>2</v>
      </c>
      <c r="Y97">
        <v>4</v>
      </c>
      <c r="Z97">
        <v>1</v>
      </c>
      <c r="AA97">
        <v>4</v>
      </c>
      <c r="AB97">
        <v>1</v>
      </c>
      <c r="AC97">
        <v>2</v>
      </c>
      <c r="AD97">
        <v>4</v>
      </c>
      <c r="AE97">
        <v>1</v>
      </c>
      <c r="AF97">
        <v>2</v>
      </c>
      <c r="AG97">
        <v>2</v>
      </c>
      <c r="AH97">
        <v>2</v>
      </c>
      <c r="AI97">
        <v>5</v>
      </c>
      <c r="AJ97">
        <v>2</v>
      </c>
      <c r="AK97">
        <v>4</v>
      </c>
      <c r="AL97">
        <v>2</v>
      </c>
      <c r="AM97">
        <v>4</v>
      </c>
      <c r="AN97">
        <v>4</v>
      </c>
      <c r="AO97">
        <v>2</v>
      </c>
      <c r="AP97">
        <v>4</v>
      </c>
      <c r="AQ97">
        <v>4</v>
      </c>
      <c r="AR97">
        <v>2</v>
      </c>
      <c r="AS97">
        <v>4</v>
      </c>
      <c r="AT97">
        <v>2</v>
      </c>
    </row>
    <row r="98" spans="1:46" x14ac:dyDescent="0.3">
      <c r="A98">
        <v>3</v>
      </c>
      <c r="B98">
        <v>2</v>
      </c>
      <c r="C98">
        <v>2</v>
      </c>
      <c r="D98">
        <v>1</v>
      </c>
      <c r="E98">
        <v>2</v>
      </c>
      <c r="F98">
        <v>2</v>
      </c>
      <c r="G98">
        <v>5</v>
      </c>
      <c r="H98">
        <v>5</v>
      </c>
      <c r="I98">
        <v>5</v>
      </c>
      <c r="J98">
        <v>4</v>
      </c>
      <c r="K98">
        <v>4</v>
      </c>
      <c r="L98">
        <v>5</v>
      </c>
      <c r="M98">
        <v>4</v>
      </c>
      <c r="N98">
        <v>5</v>
      </c>
      <c r="O98">
        <v>5</v>
      </c>
      <c r="P98">
        <v>5</v>
      </c>
      <c r="Q98">
        <v>5</v>
      </c>
      <c r="R98">
        <v>5</v>
      </c>
      <c r="S98">
        <v>3</v>
      </c>
      <c r="T98">
        <v>5</v>
      </c>
      <c r="U98">
        <v>5</v>
      </c>
      <c r="V98">
        <v>1</v>
      </c>
      <c r="W98">
        <v>1</v>
      </c>
      <c r="X98">
        <v>5</v>
      </c>
      <c r="Y98">
        <v>5</v>
      </c>
      <c r="Z98">
        <v>4</v>
      </c>
      <c r="AA98">
        <v>5</v>
      </c>
      <c r="AB98">
        <v>1</v>
      </c>
      <c r="AC98">
        <v>1</v>
      </c>
      <c r="AD98">
        <v>5</v>
      </c>
      <c r="AE98">
        <v>1</v>
      </c>
      <c r="AF98">
        <v>5</v>
      </c>
      <c r="AG98">
        <v>1</v>
      </c>
      <c r="AH98">
        <v>4</v>
      </c>
      <c r="AI98">
        <v>5</v>
      </c>
      <c r="AJ98">
        <v>5</v>
      </c>
      <c r="AK98">
        <v>5</v>
      </c>
      <c r="AL98">
        <v>5</v>
      </c>
      <c r="AM98">
        <v>5</v>
      </c>
      <c r="AN98">
        <v>5</v>
      </c>
      <c r="AO98">
        <v>1</v>
      </c>
      <c r="AP98">
        <v>5</v>
      </c>
      <c r="AQ98">
        <v>5</v>
      </c>
      <c r="AR98">
        <v>5</v>
      </c>
      <c r="AS98">
        <v>5</v>
      </c>
      <c r="AT98">
        <v>5</v>
      </c>
    </row>
    <row r="99" spans="1:46" x14ac:dyDescent="0.3">
      <c r="A99">
        <v>3</v>
      </c>
      <c r="B99">
        <v>2</v>
      </c>
      <c r="C99">
        <v>2</v>
      </c>
      <c r="D99">
        <v>2</v>
      </c>
      <c r="E99">
        <v>2</v>
      </c>
      <c r="F99">
        <v>2</v>
      </c>
      <c r="G99">
        <v>4</v>
      </c>
      <c r="H99">
        <v>4</v>
      </c>
      <c r="I99">
        <v>4</v>
      </c>
      <c r="J99">
        <v>3</v>
      </c>
      <c r="K99">
        <v>4</v>
      </c>
      <c r="L99">
        <v>4</v>
      </c>
      <c r="M99">
        <v>4</v>
      </c>
      <c r="N99">
        <v>4</v>
      </c>
      <c r="O99">
        <v>5</v>
      </c>
      <c r="P99">
        <v>4</v>
      </c>
      <c r="Q99">
        <v>4</v>
      </c>
      <c r="R99">
        <v>4</v>
      </c>
      <c r="S99">
        <v>4</v>
      </c>
      <c r="T99">
        <v>3</v>
      </c>
      <c r="U99">
        <v>4</v>
      </c>
      <c r="V99">
        <v>4</v>
      </c>
      <c r="W99">
        <v>3</v>
      </c>
      <c r="X99">
        <v>4</v>
      </c>
      <c r="Y99">
        <v>2</v>
      </c>
      <c r="Z99">
        <v>4</v>
      </c>
      <c r="AA99">
        <v>4</v>
      </c>
      <c r="AB99">
        <v>3</v>
      </c>
      <c r="AC99">
        <v>4</v>
      </c>
      <c r="AD99">
        <v>4</v>
      </c>
      <c r="AE99">
        <v>3</v>
      </c>
      <c r="AF99">
        <v>4</v>
      </c>
      <c r="AG99">
        <v>4</v>
      </c>
      <c r="AH99">
        <v>3</v>
      </c>
      <c r="AI99">
        <v>4</v>
      </c>
      <c r="AJ99">
        <v>4</v>
      </c>
      <c r="AK99">
        <v>4</v>
      </c>
      <c r="AL99">
        <v>4</v>
      </c>
      <c r="AM99">
        <v>4</v>
      </c>
      <c r="AN99">
        <v>4</v>
      </c>
      <c r="AO99">
        <v>4</v>
      </c>
      <c r="AP99">
        <v>4</v>
      </c>
      <c r="AQ99">
        <v>4</v>
      </c>
      <c r="AR99">
        <v>4</v>
      </c>
      <c r="AS99">
        <v>4</v>
      </c>
      <c r="AT99">
        <v>3</v>
      </c>
    </row>
    <row r="100" spans="1:46" x14ac:dyDescent="0.3">
      <c r="A100">
        <v>4</v>
      </c>
      <c r="B100">
        <v>2</v>
      </c>
      <c r="C100">
        <v>2</v>
      </c>
      <c r="D100">
        <v>4</v>
      </c>
      <c r="E100">
        <v>4</v>
      </c>
      <c r="F100">
        <v>2</v>
      </c>
      <c r="G100">
        <v>3</v>
      </c>
      <c r="H100">
        <v>2</v>
      </c>
      <c r="I100">
        <v>4</v>
      </c>
      <c r="J100">
        <v>2</v>
      </c>
      <c r="K100">
        <v>2</v>
      </c>
      <c r="L100">
        <v>4</v>
      </c>
      <c r="M100">
        <v>3</v>
      </c>
      <c r="N100">
        <v>4</v>
      </c>
      <c r="O100">
        <v>5</v>
      </c>
      <c r="P100">
        <v>4</v>
      </c>
      <c r="Q100">
        <v>4</v>
      </c>
      <c r="R100">
        <v>4</v>
      </c>
      <c r="S100">
        <v>3</v>
      </c>
      <c r="T100">
        <v>4</v>
      </c>
      <c r="U100">
        <v>4</v>
      </c>
      <c r="V100">
        <v>4</v>
      </c>
      <c r="W100">
        <v>4</v>
      </c>
      <c r="X100">
        <v>4</v>
      </c>
      <c r="Y100">
        <v>4</v>
      </c>
      <c r="Z100">
        <v>2</v>
      </c>
      <c r="AA100">
        <v>4</v>
      </c>
      <c r="AB100">
        <v>2</v>
      </c>
      <c r="AC100">
        <v>4</v>
      </c>
      <c r="AD100">
        <v>4</v>
      </c>
      <c r="AE100">
        <v>3</v>
      </c>
      <c r="AF100">
        <v>4</v>
      </c>
      <c r="AG100">
        <v>3</v>
      </c>
      <c r="AH100">
        <v>3</v>
      </c>
      <c r="AI100">
        <v>4</v>
      </c>
      <c r="AJ100">
        <v>4</v>
      </c>
      <c r="AK100">
        <v>4</v>
      </c>
      <c r="AL100">
        <v>4</v>
      </c>
      <c r="AM100">
        <v>4</v>
      </c>
      <c r="AN100">
        <v>4</v>
      </c>
      <c r="AO100">
        <v>2</v>
      </c>
      <c r="AP100">
        <v>3</v>
      </c>
      <c r="AQ100">
        <v>4</v>
      </c>
      <c r="AR100">
        <v>3</v>
      </c>
      <c r="AS100">
        <v>4</v>
      </c>
      <c r="AT100">
        <v>4</v>
      </c>
    </row>
    <row r="101" spans="1:46" x14ac:dyDescent="0.3">
      <c r="A101">
        <v>3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4</v>
      </c>
      <c r="H101">
        <v>4</v>
      </c>
      <c r="I101">
        <v>5</v>
      </c>
      <c r="J101">
        <v>4</v>
      </c>
      <c r="K101">
        <v>4</v>
      </c>
      <c r="L101">
        <v>2</v>
      </c>
      <c r="M101">
        <v>2</v>
      </c>
      <c r="N101">
        <v>4</v>
      </c>
      <c r="O101">
        <v>4</v>
      </c>
      <c r="P101">
        <v>4</v>
      </c>
      <c r="Q101">
        <v>3</v>
      </c>
      <c r="R101">
        <v>4</v>
      </c>
      <c r="S101">
        <v>4</v>
      </c>
      <c r="T101">
        <v>3</v>
      </c>
      <c r="U101">
        <v>4</v>
      </c>
      <c r="V101">
        <v>2</v>
      </c>
      <c r="W101">
        <v>3</v>
      </c>
      <c r="X101">
        <v>4</v>
      </c>
      <c r="Y101">
        <v>4</v>
      </c>
      <c r="Z101">
        <v>4</v>
      </c>
      <c r="AA101">
        <v>5</v>
      </c>
      <c r="AB101">
        <v>4</v>
      </c>
      <c r="AC101">
        <v>4</v>
      </c>
      <c r="AD101">
        <v>4</v>
      </c>
      <c r="AE101">
        <v>5</v>
      </c>
      <c r="AF101">
        <v>5</v>
      </c>
      <c r="AG101">
        <v>2</v>
      </c>
      <c r="AH101">
        <v>3</v>
      </c>
      <c r="AI101">
        <v>2</v>
      </c>
      <c r="AJ101">
        <v>5</v>
      </c>
      <c r="AK101">
        <v>4</v>
      </c>
      <c r="AL101">
        <v>5</v>
      </c>
      <c r="AM101">
        <v>4</v>
      </c>
      <c r="AN101">
        <v>4</v>
      </c>
      <c r="AO101">
        <v>2</v>
      </c>
      <c r="AP101">
        <v>4</v>
      </c>
      <c r="AQ101">
        <v>4</v>
      </c>
      <c r="AR101">
        <v>5</v>
      </c>
      <c r="AS101">
        <v>4</v>
      </c>
      <c r="AT101">
        <v>4</v>
      </c>
    </row>
    <row r="102" spans="1:46" x14ac:dyDescent="0.3">
      <c r="A102">
        <v>5</v>
      </c>
      <c r="B102">
        <v>2</v>
      </c>
      <c r="C102">
        <v>3</v>
      </c>
      <c r="D102">
        <v>5</v>
      </c>
      <c r="E102">
        <v>4</v>
      </c>
      <c r="F102">
        <v>2</v>
      </c>
      <c r="G102">
        <v>4</v>
      </c>
      <c r="H102">
        <v>4</v>
      </c>
      <c r="I102">
        <v>3</v>
      </c>
      <c r="J102">
        <v>2</v>
      </c>
      <c r="K102">
        <v>3</v>
      </c>
      <c r="L102">
        <v>3</v>
      </c>
      <c r="M102">
        <v>4</v>
      </c>
      <c r="N102">
        <v>4</v>
      </c>
      <c r="O102">
        <v>4</v>
      </c>
      <c r="P102">
        <v>4</v>
      </c>
      <c r="Q102">
        <v>4</v>
      </c>
      <c r="R102">
        <v>5</v>
      </c>
      <c r="S102">
        <v>5</v>
      </c>
      <c r="T102">
        <v>3</v>
      </c>
      <c r="U102">
        <v>4</v>
      </c>
      <c r="V102">
        <v>2</v>
      </c>
      <c r="W102">
        <v>2</v>
      </c>
      <c r="X102">
        <v>5</v>
      </c>
      <c r="Y102">
        <v>4</v>
      </c>
      <c r="Z102">
        <v>2</v>
      </c>
      <c r="AA102">
        <v>4</v>
      </c>
      <c r="AB102">
        <v>2</v>
      </c>
      <c r="AC102">
        <v>4</v>
      </c>
      <c r="AD102">
        <v>4</v>
      </c>
      <c r="AE102">
        <v>4</v>
      </c>
      <c r="AF102">
        <v>4</v>
      </c>
      <c r="AG102">
        <v>2</v>
      </c>
      <c r="AH102">
        <v>3</v>
      </c>
      <c r="AI102">
        <v>5</v>
      </c>
      <c r="AJ102">
        <v>5</v>
      </c>
      <c r="AK102">
        <v>4</v>
      </c>
      <c r="AL102">
        <v>4</v>
      </c>
      <c r="AM102">
        <v>4</v>
      </c>
      <c r="AN102">
        <v>5</v>
      </c>
      <c r="AO102">
        <v>2</v>
      </c>
      <c r="AP102">
        <v>4</v>
      </c>
      <c r="AQ102">
        <v>4</v>
      </c>
      <c r="AR102">
        <v>4</v>
      </c>
      <c r="AS102">
        <v>4</v>
      </c>
      <c r="AT102">
        <v>4</v>
      </c>
    </row>
    <row r="103" spans="1:46" x14ac:dyDescent="0.3">
      <c r="A103">
        <v>4</v>
      </c>
      <c r="B103">
        <v>2</v>
      </c>
      <c r="C103">
        <v>1</v>
      </c>
      <c r="D103">
        <v>2</v>
      </c>
      <c r="E103">
        <v>1</v>
      </c>
      <c r="F103">
        <v>2</v>
      </c>
      <c r="G103">
        <v>3</v>
      </c>
      <c r="H103">
        <v>4</v>
      </c>
      <c r="I103">
        <v>4</v>
      </c>
      <c r="J103">
        <v>4</v>
      </c>
      <c r="K103">
        <v>3</v>
      </c>
      <c r="L103">
        <v>3</v>
      </c>
      <c r="M103">
        <v>3</v>
      </c>
      <c r="N103">
        <v>5</v>
      </c>
      <c r="O103">
        <v>5</v>
      </c>
      <c r="P103">
        <v>5</v>
      </c>
      <c r="Q103">
        <v>4</v>
      </c>
      <c r="R103">
        <v>5</v>
      </c>
      <c r="S103">
        <v>5</v>
      </c>
      <c r="T103">
        <v>5</v>
      </c>
      <c r="U103">
        <v>4</v>
      </c>
      <c r="V103">
        <v>2</v>
      </c>
      <c r="W103">
        <v>3</v>
      </c>
      <c r="X103">
        <v>5</v>
      </c>
      <c r="Y103">
        <v>4</v>
      </c>
      <c r="Z103">
        <v>4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5</v>
      </c>
      <c r="AG103">
        <v>3</v>
      </c>
      <c r="AH103">
        <v>3</v>
      </c>
      <c r="AI103">
        <v>3</v>
      </c>
      <c r="AJ103">
        <v>5</v>
      </c>
      <c r="AK103">
        <v>4</v>
      </c>
      <c r="AL103">
        <v>2</v>
      </c>
      <c r="AM103">
        <v>4</v>
      </c>
      <c r="AN103">
        <v>5</v>
      </c>
      <c r="AO103">
        <v>4</v>
      </c>
      <c r="AP103">
        <v>5</v>
      </c>
      <c r="AQ103">
        <v>5</v>
      </c>
      <c r="AR103">
        <v>3</v>
      </c>
      <c r="AS103">
        <v>5</v>
      </c>
      <c r="AT103">
        <v>4</v>
      </c>
    </row>
    <row r="104" spans="1:46" x14ac:dyDescent="0.3">
      <c r="A104">
        <v>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4</v>
      </c>
      <c r="H104">
        <v>3</v>
      </c>
      <c r="I104">
        <v>3</v>
      </c>
      <c r="J104">
        <v>3</v>
      </c>
      <c r="K104">
        <v>2</v>
      </c>
      <c r="L104">
        <v>2</v>
      </c>
      <c r="M104">
        <v>3</v>
      </c>
      <c r="N104">
        <v>3</v>
      </c>
      <c r="O104">
        <v>4</v>
      </c>
      <c r="P104">
        <v>4</v>
      </c>
      <c r="Q104">
        <v>3</v>
      </c>
      <c r="R104">
        <v>4</v>
      </c>
      <c r="S104">
        <v>4</v>
      </c>
      <c r="T104">
        <v>4</v>
      </c>
      <c r="U104">
        <v>4</v>
      </c>
      <c r="V104">
        <v>3</v>
      </c>
      <c r="W104">
        <v>3</v>
      </c>
      <c r="X104">
        <v>3</v>
      </c>
      <c r="Y104">
        <v>3</v>
      </c>
      <c r="Z104">
        <v>3</v>
      </c>
      <c r="AA104">
        <v>4</v>
      </c>
      <c r="AB104">
        <v>3</v>
      </c>
      <c r="AC104">
        <v>3</v>
      </c>
      <c r="AD104">
        <v>3</v>
      </c>
      <c r="AE104">
        <v>3</v>
      </c>
      <c r="AF104">
        <v>3</v>
      </c>
      <c r="AG104">
        <v>4</v>
      </c>
      <c r="AH104">
        <v>4</v>
      </c>
      <c r="AI104">
        <v>3</v>
      </c>
      <c r="AJ104">
        <v>3</v>
      </c>
      <c r="AK104">
        <v>4</v>
      </c>
      <c r="AL104">
        <v>3</v>
      </c>
      <c r="AM104">
        <v>3</v>
      </c>
      <c r="AN104">
        <v>3</v>
      </c>
      <c r="AO104">
        <v>2</v>
      </c>
      <c r="AP104">
        <v>3</v>
      </c>
      <c r="AQ104">
        <v>3</v>
      </c>
      <c r="AR104">
        <v>3</v>
      </c>
      <c r="AS104">
        <v>4</v>
      </c>
      <c r="AT104">
        <v>4</v>
      </c>
    </row>
    <row r="105" spans="1:46" x14ac:dyDescent="0.3">
      <c r="A105">
        <v>3</v>
      </c>
      <c r="B105">
        <v>2</v>
      </c>
      <c r="C105">
        <v>2</v>
      </c>
      <c r="D105">
        <v>3</v>
      </c>
      <c r="E105">
        <v>2</v>
      </c>
      <c r="F105">
        <v>3</v>
      </c>
      <c r="G105">
        <v>2</v>
      </c>
      <c r="H105">
        <v>5</v>
      </c>
      <c r="I105">
        <v>5</v>
      </c>
      <c r="J105">
        <v>4</v>
      </c>
      <c r="K105">
        <v>4</v>
      </c>
      <c r="L105">
        <v>3</v>
      </c>
      <c r="M105">
        <v>4</v>
      </c>
      <c r="N105">
        <v>4</v>
      </c>
      <c r="O105">
        <v>4</v>
      </c>
      <c r="P105">
        <v>5</v>
      </c>
      <c r="Q105">
        <v>5</v>
      </c>
      <c r="R105">
        <v>5</v>
      </c>
      <c r="S105">
        <v>4</v>
      </c>
      <c r="T105">
        <v>5</v>
      </c>
      <c r="U105">
        <v>4</v>
      </c>
      <c r="V105">
        <v>2</v>
      </c>
      <c r="W105">
        <v>4</v>
      </c>
      <c r="X105">
        <v>4</v>
      </c>
      <c r="Y105">
        <v>4</v>
      </c>
      <c r="Z105">
        <v>4</v>
      </c>
      <c r="AA105">
        <v>5</v>
      </c>
      <c r="AB105">
        <v>2</v>
      </c>
      <c r="AC105">
        <v>3</v>
      </c>
      <c r="AD105">
        <v>3</v>
      </c>
      <c r="AE105">
        <v>3</v>
      </c>
      <c r="AF105">
        <v>4</v>
      </c>
      <c r="AG105">
        <v>2</v>
      </c>
      <c r="AH105">
        <v>4</v>
      </c>
      <c r="AI105">
        <v>3</v>
      </c>
      <c r="AJ105">
        <v>3</v>
      </c>
      <c r="AK105">
        <v>4</v>
      </c>
      <c r="AL105">
        <v>5</v>
      </c>
      <c r="AM105">
        <v>5</v>
      </c>
      <c r="AN105">
        <v>5</v>
      </c>
      <c r="AO105">
        <v>3</v>
      </c>
      <c r="AP105">
        <v>3</v>
      </c>
      <c r="AQ105">
        <v>3</v>
      </c>
      <c r="AR105">
        <v>4</v>
      </c>
      <c r="AS105">
        <v>3</v>
      </c>
      <c r="AT105">
        <v>5</v>
      </c>
    </row>
    <row r="106" spans="1:46" x14ac:dyDescent="0.3">
      <c r="A106">
        <v>3</v>
      </c>
      <c r="B106">
        <v>2</v>
      </c>
      <c r="C106">
        <v>2</v>
      </c>
      <c r="D106">
        <v>3</v>
      </c>
      <c r="E106">
        <v>2</v>
      </c>
      <c r="F106">
        <v>3</v>
      </c>
      <c r="G106">
        <v>4</v>
      </c>
      <c r="H106">
        <v>5</v>
      </c>
      <c r="I106">
        <v>4</v>
      </c>
      <c r="J106">
        <v>4</v>
      </c>
      <c r="K106">
        <v>4</v>
      </c>
      <c r="L106">
        <v>3</v>
      </c>
      <c r="M106">
        <v>3</v>
      </c>
      <c r="N106">
        <v>5</v>
      </c>
      <c r="O106">
        <v>4</v>
      </c>
      <c r="P106">
        <v>4</v>
      </c>
      <c r="Q106">
        <v>4</v>
      </c>
      <c r="R106">
        <v>5</v>
      </c>
      <c r="S106">
        <v>4</v>
      </c>
      <c r="T106">
        <v>4</v>
      </c>
      <c r="U106">
        <v>4</v>
      </c>
      <c r="V106">
        <v>3</v>
      </c>
      <c r="W106">
        <v>3</v>
      </c>
      <c r="X106">
        <v>4</v>
      </c>
      <c r="Y106">
        <v>5</v>
      </c>
      <c r="Z106">
        <v>4</v>
      </c>
      <c r="AA106">
        <v>4</v>
      </c>
      <c r="AB106">
        <v>2</v>
      </c>
      <c r="AC106">
        <v>3</v>
      </c>
      <c r="AD106">
        <v>4</v>
      </c>
      <c r="AE106">
        <v>4</v>
      </c>
      <c r="AF106">
        <v>5</v>
      </c>
      <c r="AG106">
        <v>3</v>
      </c>
      <c r="AH106">
        <v>3</v>
      </c>
      <c r="AI106">
        <v>4</v>
      </c>
      <c r="AJ106">
        <v>4</v>
      </c>
      <c r="AK106">
        <v>4</v>
      </c>
      <c r="AL106">
        <v>4</v>
      </c>
      <c r="AM106">
        <v>4</v>
      </c>
      <c r="AN106">
        <v>4</v>
      </c>
      <c r="AO106">
        <v>3</v>
      </c>
      <c r="AP106">
        <v>5</v>
      </c>
      <c r="AQ106">
        <v>4</v>
      </c>
      <c r="AR106">
        <v>3</v>
      </c>
      <c r="AS106">
        <v>4</v>
      </c>
      <c r="AT106">
        <v>4</v>
      </c>
    </row>
    <row r="107" spans="1:46" x14ac:dyDescent="0.3">
      <c r="A107">
        <v>5</v>
      </c>
      <c r="B107">
        <v>2</v>
      </c>
      <c r="C107">
        <v>3</v>
      </c>
      <c r="D107">
        <v>5</v>
      </c>
      <c r="E107">
        <v>4</v>
      </c>
      <c r="F107">
        <v>3</v>
      </c>
      <c r="G107">
        <v>3</v>
      </c>
      <c r="H107">
        <v>4</v>
      </c>
      <c r="I107">
        <v>5</v>
      </c>
      <c r="J107">
        <v>4</v>
      </c>
      <c r="K107">
        <v>4</v>
      </c>
      <c r="L107">
        <v>4</v>
      </c>
      <c r="M107">
        <v>5</v>
      </c>
      <c r="N107">
        <v>5</v>
      </c>
      <c r="O107">
        <v>5</v>
      </c>
      <c r="P107">
        <v>5</v>
      </c>
      <c r="Q107">
        <v>2</v>
      </c>
      <c r="R107">
        <v>5</v>
      </c>
      <c r="S107">
        <v>5</v>
      </c>
      <c r="T107">
        <v>4</v>
      </c>
      <c r="U107">
        <v>5</v>
      </c>
      <c r="V107">
        <v>2</v>
      </c>
      <c r="W107">
        <v>2</v>
      </c>
      <c r="X107">
        <v>5</v>
      </c>
      <c r="Y107">
        <v>5</v>
      </c>
      <c r="Z107">
        <v>5</v>
      </c>
      <c r="AA107">
        <v>5</v>
      </c>
      <c r="AB107">
        <v>2</v>
      </c>
      <c r="AC107">
        <v>5</v>
      </c>
      <c r="AD107">
        <v>5</v>
      </c>
      <c r="AE107">
        <v>5</v>
      </c>
      <c r="AF107">
        <v>5</v>
      </c>
      <c r="AG107">
        <v>2</v>
      </c>
      <c r="AH107">
        <v>5</v>
      </c>
      <c r="AI107">
        <v>5</v>
      </c>
      <c r="AJ107">
        <v>5</v>
      </c>
      <c r="AK107">
        <v>5</v>
      </c>
      <c r="AL107">
        <v>5</v>
      </c>
      <c r="AM107">
        <v>4</v>
      </c>
      <c r="AN107">
        <v>5</v>
      </c>
      <c r="AO107">
        <v>1</v>
      </c>
      <c r="AP107">
        <v>5</v>
      </c>
      <c r="AQ107">
        <v>5</v>
      </c>
      <c r="AR107">
        <v>5</v>
      </c>
      <c r="AS107">
        <v>5</v>
      </c>
      <c r="AT107">
        <v>5</v>
      </c>
    </row>
    <row r="108" spans="1:46" x14ac:dyDescent="0.3">
      <c r="A108">
        <v>4</v>
      </c>
      <c r="B108">
        <v>2</v>
      </c>
      <c r="C108">
        <v>2</v>
      </c>
      <c r="D108">
        <v>5</v>
      </c>
      <c r="E108">
        <v>4</v>
      </c>
      <c r="F108">
        <v>2</v>
      </c>
      <c r="G108">
        <v>3</v>
      </c>
      <c r="H108">
        <v>4</v>
      </c>
      <c r="I108">
        <v>4</v>
      </c>
      <c r="J108">
        <v>3</v>
      </c>
      <c r="K108">
        <v>3</v>
      </c>
      <c r="L108">
        <v>3</v>
      </c>
      <c r="M108">
        <v>3</v>
      </c>
      <c r="N108">
        <v>4</v>
      </c>
      <c r="O108">
        <v>4</v>
      </c>
      <c r="P108">
        <v>4</v>
      </c>
      <c r="Q108">
        <v>3</v>
      </c>
      <c r="R108">
        <v>3</v>
      </c>
      <c r="S108">
        <v>4</v>
      </c>
      <c r="T108">
        <v>3</v>
      </c>
      <c r="U108">
        <v>4</v>
      </c>
      <c r="V108">
        <v>3</v>
      </c>
      <c r="W108">
        <v>4</v>
      </c>
      <c r="X108">
        <v>3</v>
      </c>
      <c r="Y108">
        <v>3</v>
      </c>
      <c r="Z108">
        <v>4</v>
      </c>
      <c r="AA108">
        <v>4</v>
      </c>
      <c r="AB108">
        <v>3</v>
      </c>
      <c r="AC108">
        <v>3</v>
      </c>
      <c r="AD108">
        <v>3</v>
      </c>
      <c r="AE108">
        <v>4</v>
      </c>
      <c r="AF108">
        <v>3</v>
      </c>
      <c r="AG108">
        <v>3</v>
      </c>
      <c r="AH108">
        <v>3</v>
      </c>
      <c r="AI108">
        <v>5</v>
      </c>
      <c r="AJ108">
        <v>4</v>
      </c>
      <c r="AK108">
        <v>5</v>
      </c>
      <c r="AL108">
        <v>4</v>
      </c>
      <c r="AM108">
        <v>4</v>
      </c>
      <c r="AN108">
        <v>4</v>
      </c>
      <c r="AO108">
        <v>3</v>
      </c>
      <c r="AP108">
        <v>3</v>
      </c>
      <c r="AQ108">
        <v>3</v>
      </c>
      <c r="AR108">
        <v>3</v>
      </c>
      <c r="AS108">
        <v>4</v>
      </c>
      <c r="AT108">
        <v>3</v>
      </c>
    </row>
    <row r="109" spans="1:46" x14ac:dyDescent="0.3">
      <c r="A109">
        <v>2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3</v>
      </c>
      <c r="H109">
        <v>4</v>
      </c>
      <c r="I109">
        <v>3</v>
      </c>
      <c r="J109">
        <v>2</v>
      </c>
      <c r="K109">
        <v>3</v>
      </c>
      <c r="L109">
        <v>4</v>
      </c>
      <c r="M109">
        <v>3</v>
      </c>
      <c r="N109">
        <v>4</v>
      </c>
      <c r="O109">
        <v>4</v>
      </c>
      <c r="P109">
        <v>4</v>
      </c>
      <c r="Q109">
        <v>4</v>
      </c>
      <c r="R109">
        <v>4</v>
      </c>
      <c r="S109">
        <v>4</v>
      </c>
      <c r="T109">
        <v>3</v>
      </c>
      <c r="U109">
        <v>4</v>
      </c>
      <c r="V109">
        <v>2</v>
      </c>
      <c r="W109">
        <v>3</v>
      </c>
      <c r="X109">
        <v>4</v>
      </c>
      <c r="Y109">
        <v>4</v>
      </c>
      <c r="Z109">
        <v>3</v>
      </c>
      <c r="AA109">
        <v>4</v>
      </c>
      <c r="AB109">
        <v>2</v>
      </c>
      <c r="AC109">
        <v>3</v>
      </c>
      <c r="AD109">
        <v>3</v>
      </c>
      <c r="AE109">
        <v>3</v>
      </c>
      <c r="AF109">
        <v>3</v>
      </c>
      <c r="AG109">
        <v>2</v>
      </c>
      <c r="AH109">
        <v>2</v>
      </c>
      <c r="AI109">
        <v>4</v>
      </c>
      <c r="AJ109">
        <v>4</v>
      </c>
      <c r="AK109">
        <v>4</v>
      </c>
      <c r="AL109">
        <v>4</v>
      </c>
      <c r="AM109">
        <v>4</v>
      </c>
      <c r="AN109">
        <v>4</v>
      </c>
      <c r="AO109">
        <v>3</v>
      </c>
      <c r="AP109">
        <v>3</v>
      </c>
      <c r="AQ109">
        <v>3</v>
      </c>
      <c r="AR109">
        <v>4</v>
      </c>
      <c r="AS109">
        <v>4</v>
      </c>
      <c r="AT109">
        <v>3</v>
      </c>
    </row>
    <row r="110" spans="1:46" x14ac:dyDescent="0.3">
      <c r="A110">
        <v>3</v>
      </c>
      <c r="B110">
        <v>2</v>
      </c>
      <c r="C110">
        <v>1</v>
      </c>
      <c r="D110">
        <v>2</v>
      </c>
      <c r="E110">
        <v>2</v>
      </c>
      <c r="F110">
        <v>2</v>
      </c>
      <c r="G110">
        <v>4</v>
      </c>
      <c r="H110">
        <v>5</v>
      </c>
      <c r="I110">
        <v>4</v>
      </c>
      <c r="J110">
        <v>2</v>
      </c>
      <c r="K110">
        <v>2</v>
      </c>
      <c r="L110">
        <v>2</v>
      </c>
      <c r="M110">
        <v>3</v>
      </c>
      <c r="N110">
        <v>4</v>
      </c>
      <c r="O110">
        <v>4</v>
      </c>
      <c r="P110">
        <v>4</v>
      </c>
      <c r="Q110">
        <v>2</v>
      </c>
      <c r="R110">
        <v>4</v>
      </c>
      <c r="S110">
        <v>4</v>
      </c>
      <c r="T110">
        <v>4</v>
      </c>
      <c r="U110">
        <v>5</v>
      </c>
      <c r="V110">
        <v>3</v>
      </c>
      <c r="W110">
        <v>4</v>
      </c>
      <c r="X110">
        <v>4</v>
      </c>
      <c r="Y110">
        <v>2</v>
      </c>
      <c r="Z110">
        <v>4</v>
      </c>
      <c r="AA110">
        <v>4</v>
      </c>
      <c r="AB110">
        <v>3</v>
      </c>
      <c r="AC110">
        <v>4</v>
      </c>
      <c r="AD110">
        <v>4</v>
      </c>
      <c r="AE110">
        <v>3</v>
      </c>
      <c r="AF110">
        <v>4</v>
      </c>
      <c r="AG110">
        <v>2</v>
      </c>
      <c r="AH110">
        <v>3</v>
      </c>
      <c r="AI110">
        <v>4</v>
      </c>
      <c r="AJ110">
        <v>4</v>
      </c>
      <c r="AK110">
        <v>4</v>
      </c>
      <c r="AL110">
        <v>4</v>
      </c>
      <c r="AM110">
        <v>4</v>
      </c>
      <c r="AN110">
        <v>5</v>
      </c>
      <c r="AO110">
        <v>2</v>
      </c>
      <c r="AP110">
        <v>4</v>
      </c>
      <c r="AQ110">
        <v>4</v>
      </c>
      <c r="AR110">
        <v>4</v>
      </c>
      <c r="AS110">
        <v>5</v>
      </c>
      <c r="AT110">
        <v>4</v>
      </c>
    </row>
    <row r="111" spans="1:46" x14ac:dyDescent="0.3">
      <c r="A111">
        <v>3</v>
      </c>
      <c r="B111">
        <v>2</v>
      </c>
      <c r="C111">
        <v>2</v>
      </c>
      <c r="D111">
        <v>2</v>
      </c>
      <c r="E111">
        <v>2</v>
      </c>
      <c r="F111">
        <v>3</v>
      </c>
      <c r="G111">
        <v>4</v>
      </c>
      <c r="H111">
        <v>5</v>
      </c>
      <c r="I111">
        <v>4</v>
      </c>
      <c r="J111">
        <v>3</v>
      </c>
      <c r="K111">
        <v>4</v>
      </c>
      <c r="L111">
        <v>4</v>
      </c>
      <c r="M111">
        <v>3</v>
      </c>
      <c r="N111">
        <v>4</v>
      </c>
      <c r="O111">
        <v>5</v>
      </c>
      <c r="P111">
        <v>5</v>
      </c>
      <c r="Q111">
        <v>4</v>
      </c>
      <c r="R111">
        <v>4</v>
      </c>
      <c r="S111">
        <v>5</v>
      </c>
      <c r="T111">
        <v>4</v>
      </c>
      <c r="U111">
        <v>4</v>
      </c>
      <c r="V111">
        <v>3</v>
      </c>
      <c r="W111">
        <v>3</v>
      </c>
      <c r="X111">
        <v>4</v>
      </c>
      <c r="Y111">
        <v>3</v>
      </c>
      <c r="Z111">
        <v>4</v>
      </c>
      <c r="AA111">
        <v>5</v>
      </c>
      <c r="AB111">
        <v>5</v>
      </c>
      <c r="AC111">
        <v>5</v>
      </c>
      <c r="AD111">
        <v>4</v>
      </c>
      <c r="AE111">
        <v>4</v>
      </c>
      <c r="AF111">
        <v>4</v>
      </c>
      <c r="AG111">
        <v>1</v>
      </c>
      <c r="AH111">
        <v>3</v>
      </c>
      <c r="AI111">
        <v>3</v>
      </c>
      <c r="AJ111">
        <v>4</v>
      </c>
      <c r="AK111">
        <v>5</v>
      </c>
      <c r="AL111">
        <v>4</v>
      </c>
      <c r="AM111">
        <v>4</v>
      </c>
      <c r="AN111">
        <v>5</v>
      </c>
      <c r="AO111">
        <v>1</v>
      </c>
      <c r="AP111">
        <v>3</v>
      </c>
      <c r="AQ111">
        <v>4</v>
      </c>
      <c r="AR111">
        <v>4</v>
      </c>
      <c r="AS111">
        <v>5</v>
      </c>
      <c r="AT111">
        <v>4</v>
      </c>
    </row>
    <row r="112" spans="1:46" x14ac:dyDescent="0.3">
      <c r="A112">
        <v>4</v>
      </c>
      <c r="B112">
        <v>2</v>
      </c>
      <c r="C112">
        <v>2</v>
      </c>
      <c r="D112">
        <v>3</v>
      </c>
      <c r="E112">
        <v>3</v>
      </c>
      <c r="F112">
        <v>2</v>
      </c>
      <c r="G112">
        <v>3</v>
      </c>
      <c r="H112">
        <v>4</v>
      </c>
      <c r="I112">
        <v>4</v>
      </c>
      <c r="J112">
        <v>3</v>
      </c>
      <c r="K112">
        <v>5</v>
      </c>
      <c r="L112">
        <v>3</v>
      </c>
      <c r="M112">
        <v>4</v>
      </c>
      <c r="N112">
        <v>4</v>
      </c>
      <c r="O112">
        <v>4</v>
      </c>
      <c r="P112">
        <v>4</v>
      </c>
      <c r="Q112">
        <v>5</v>
      </c>
      <c r="R112">
        <v>5</v>
      </c>
      <c r="S112">
        <v>4</v>
      </c>
      <c r="T112">
        <v>4</v>
      </c>
      <c r="U112">
        <v>4</v>
      </c>
      <c r="V112">
        <v>3</v>
      </c>
      <c r="W112">
        <v>3</v>
      </c>
      <c r="X112">
        <v>3</v>
      </c>
      <c r="Y112">
        <v>3</v>
      </c>
      <c r="Z112">
        <v>3</v>
      </c>
      <c r="AA112">
        <v>4</v>
      </c>
      <c r="AB112">
        <v>3</v>
      </c>
      <c r="AC112">
        <v>4</v>
      </c>
      <c r="AD112">
        <v>4</v>
      </c>
      <c r="AE112">
        <v>4</v>
      </c>
      <c r="AF112">
        <v>4</v>
      </c>
      <c r="AG112">
        <v>3</v>
      </c>
      <c r="AH112">
        <v>4</v>
      </c>
      <c r="AI112">
        <v>4</v>
      </c>
      <c r="AJ112">
        <v>3</v>
      </c>
      <c r="AK112">
        <v>3</v>
      </c>
      <c r="AL112">
        <v>4</v>
      </c>
      <c r="AM112">
        <v>4</v>
      </c>
      <c r="AN112">
        <v>5</v>
      </c>
      <c r="AO112">
        <v>3</v>
      </c>
      <c r="AP112">
        <v>3</v>
      </c>
      <c r="AQ112">
        <v>4</v>
      </c>
      <c r="AR112">
        <v>4</v>
      </c>
      <c r="AS112">
        <v>3</v>
      </c>
      <c r="AT112">
        <v>5</v>
      </c>
    </row>
    <row r="113" spans="1:46" x14ac:dyDescent="0.3">
      <c r="A113">
        <v>5</v>
      </c>
      <c r="B113">
        <v>2</v>
      </c>
      <c r="C113">
        <v>2</v>
      </c>
      <c r="D113">
        <v>3</v>
      </c>
      <c r="E113">
        <v>4</v>
      </c>
      <c r="F113">
        <v>2</v>
      </c>
      <c r="G113">
        <v>4</v>
      </c>
      <c r="H113">
        <v>5</v>
      </c>
      <c r="I113">
        <v>4</v>
      </c>
      <c r="J113">
        <v>4</v>
      </c>
      <c r="K113">
        <v>4</v>
      </c>
      <c r="L113">
        <v>4</v>
      </c>
      <c r="M113">
        <v>5</v>
      </c>
      <c r="N113">
        <v>5</v>
      </c>
      <c r="O113">
        <v>5</v>
      </c>
      <c r="P113">
        <v>5</v>
      </c>
      <c r="Q113">
        <v>5</v>
      </c>
      <c r="R113">
        <v>5</v>
      </c>
      <c r="S113">
        <v>5</v>
      </c>
      <c r="T113">
        <v>5</v>
      </c>
      <c r="U113">
        <v>5</v>
      </c>
      <c r="V113">
        <v>4</v>
      </c>
      <c r="W113">
        <v>5</v>
      </c>
      <c r="X113">
        <v>5</v>
      </c>
      <c r="Y113">
        <v>4</v>
      </c>
      <c r="Z113">
        <v>4</v>
      </c>
      <c r="AA113">
        <v>5</v>
      </c>
      <c r="AB113">
        <v>4</v>
      </c>
      <c r="AC113">
        <v>5</v>
      </c>
      <c r="AD113">
        <v>5</v>
      </c>
      <c r="AE113">
        <v>4</v>
      </c>
      <c r="AF113">
        <v>4</v>
      </c>
      <c r="AG113">
        <v>1</v>
      </c>
      <c r="AH113">
        <v>5</v>
      </c>
      <c r="AI113">
        <v>5</v>
      </c>
      <c r="AJ113">
        <v>5</v>
      </c>
      <c r="AK113">
        <v>5</v>
      </c>
      <c r="AL113">
        <v>5</v>
      </c>
      <c r="AM113">
        <v>5</v>
      </c>
      <c r="AN113">
        <v>5</v>
      </c>
      <c r="AO113">
        <v>1</v>
      </c>
      <c r="AP113">
        <v>5</v>
      </c>
      <c r="AQ113">
        <v>5</v>
      </c>
      <c r="AR113">
        <v>5</v>
      </c>
      <c r="AS113">
        <v>5</v>
      </c>
      <c r="AT113">
        <v>5</v>
      </c>
    </row>
    <row r="114" spans="1:46" x14ac:dyDescent="0.3">
      <c r="A114">
        <v>5</v>
      </c>
      <c r="B114">
        <v>2</v>
      </c>
      <c r="C114">
        <v>1</v>
      </c>
      <c r="D114">
        <v>4</v>
      </c>
      <c r="E114">
        <v>2</v>
      </c>
      <c r="F114">
        <v>2</v>
      </c>
      <c r="G114">
        <v>3</v>
      </c>
      <c r="H114">
        <v>5</v>
      </c>
      <c r="I114">
        <v>4</v>
      </c>
      <c r="J114">
        <v>4</v>
      </c>
      <c r="K114">
        <v>4</v>
      </c>
      <c r="L114">
        <v>4</v>
      </c>
      <c r="M114">
        <v>4</v>
      </c>
      <c r="N114">
        <v>5</v>
      </c>
      <c r="O114">
        <v>5</v>
      </c>
      <c r="P114">
        <v>5</v>
      </c>
      <c r="Q114">
        <v>4</v>
      </c>
      <c r="R114">
        <v>5</v>
      </c>
      <c r="S114">
        <v>4</v>
      </c>
      <c r="T114">
        <v>4</v>
      </c>
      <c r="U114">
        <v>3</v>
      </c>
      <c r="V114">
        <v>3</v>
      </c>
      <c r="W114">
        <v>3</v>
      </c>
      <c r="X114">
        <v>3</v>
      </c>
      <c r="Y114">
        <v>4</v>
      </c>
      <c r="Z114">
        <v>4</v>
      </c>
      <c r="AA114">
        <v>5</v>
      </c>
      <c r="AB114">
        <v>4</v>
      </c>
      <c r="AC114">
        <v>4</v>
      </c>
      <c r="AD114">
        <v>5</v>
      </c>
      <c r="AE114">
        <v>5</v>
      </c>
      <c r="AF114">
        <v>4</v>
      </c>
      <c r="AG114">
        <v>3</v>
      </c>
      <c r="AH114">
        <v>4</v>
      </c>
      <c r="AI114">
        <v>2</v>
      </c>
      <c r="AJ114">
        <v>5</v>
      </c>
      <c r="AK114">
        <v>4</v>
      </c>
      <c r="AL114">
        <v>4</v>
      </c>
      <c r="AM114">
        <v>5</v>
      </c>
      <c r="AN114">
        <v>5</v>
      </c>
      <c r="AO114">
        <v>2</v>
      </c>
      <c r="AP114">
        <v>4</v>
      </c>
      <c r="AQ114">
        <v>5</v>
      </c>
      <c r="AR114">
        <v>4</v>
      </c>
      <c r="AS114">
        <v>4</v>
      </c>
      <c r="AT114">
        <v>5</v>
      </c>
    </row>
    <row r="115" spans="1:46" x14ac:dyDescent="0.3">
      <c r="A115">
        <v>2</v>
      </c>
      <c r="B115">
        <v>2</v>
      </c>
      <c r="C115">
        <v>2</v>
      </c>
      <c r="D115">
        <v>1</v>
      </c>
      <c r="E115">
        <v>2</v>
      </c>
      <c r="F115">
        <v>2</v>
      </c>
      <c r="G115">
        <v>3</v>
      </c>
      <c r="H115">
        <v>4</v>
      </c>
      <c r="I115">
        <v>5</v>
      </c>
      <c r="J115">
        <v>4</v>
      </c>
      <c r="K115">
        <v>4</v>
      </c>
      <c r="L115">
        <v>5</v>
      </c>
      <c r="M115">
        <v>4</v>
      </c>
      <c r="N115">
        <v>4</v>
      </c>
      <c r="O115">
        <v>4</v>
      </c>
      <c r="P115">
        <v>4</v>
      </c>
      <c r="Q115">
        <v>4</v>
      </c>
      <c r="R115">
        <v>5</v>
      </c>
      <c r="S115">
        <v>4</v>
      </c>
      <c r="T115">
        <v>5</v>
      </c>
      <c r="U115">
        <v>5</v>
      </c>
      <c r="V115">
        <v>3</v>
      </c>
      <c r="W115">
        <v>4</v>
      </c>
      <c r="X115">
        <v>5</v>
      </c>
      <c r="Y115">
        <v>3</v>
      </c>
      <c r="Z115">
        <v>4</v>
      </c>
      <c r="AA115">
        <v>4</v>
      </c>
      <c r="AB115">
        <v>4</v>
      </c>
      <c r="AC115">
        <v>4</v>
      </c>
      <c r="AD115">
        <v>4</v>
      </c>
      <c r="AE115">
        <v>4</v>
      </c>
      <c r="AF115">
        <v>4</v>
      </c>
      <c r="AG115">
        <v>2</v>
      </c>
      <c r="AH115">
        <v>2</v>
      </c>
      <c r="AI115">
        <v>3</v>
      </c>
      <c r="AJ115">
        <v>4</v>
      </c>
      <c r="AK115">
        <v>4</v>
      </c>
      <c r="AL115">
        <v>4</v>
      </c>
      <c r="AM115">
        <v>4</v>
      </c>
      <c r="AN115">
        <v>4</v>
      </c>
      <c r="AO115">
        <v>2</v>
      </c>
      <c r="AP115">
        <v>4</v>
      </c>
      <c r="AQ115">
        <v>3</v>
      </c>
      <c r="AR115">
        <v>4</v>
      </c>
      <c r="AS115">
        <v>5</v>
      </c>
      <c r="AT115">
        <v>5</v>
      </c>
    </row>
    <row r="116" spans="1:46" x14ac:dyDescent="0.3">
      <c r="A116">
        <v>2</v>
      </c>
      <c r="B116">
        <v>2</v>
      </c>
      <c r="C116">
        <v>2</v>
      </c>
      <c r="D116">
        <v>1</v>
      </c>
      <c r="E116">
        <v>2</v>
      </c>
      <c r="F116">
        <v>3</v>
      </c>
      <c r="G116">
        <v>4</v>
      </c>
      <c r="H116">
        <v>5</v>
      </c>
      <c r="I116">
        <v>5</v>
      </c>
      <c r="J116">
        <v>4</v>
      </c>
      <c r="K116">
        <v>4</v>
      </c>
      <c r="L116">
        <v>4</v>
      </c>
      <c r="M116">
        <v>5</v>
      </c>
      <c r="N116">
        <v>5</v>
      </c>
      <c r="O116">
        <v>5</v>
      </c>
      <c r="P116">
        <v>5</v>
      </c>
      <c r="Q116">
        <v>4</v>
      </c>
      <c r="R116">
        <v>5</v>
      </c>
      <c r="S116">
        <v>4</v>
      </c>
      <c r="T116">
        <v>4</v>
      </c>
      <c r="U116">
        <v>4</v>
      </c>
      <c r="V116">
        <v>3</v>
      </c>
      <c r="W116">
        <v>4</v>
      </c>
      <c r="X116">
        <v>4</v>
      </c>
      <c r="Y116">
        <v>4</v>
      </c>
      <c r="Z116">
        <v>5</v>
      </c>
      <c r="AA116">
        <v>4</v>
      </c>
      <c r="AB116">
        <v>2</v>
      </c>
      <c r="AC116">
        <v>4</v>
      </c>
      <c r="AD116">
        <v>3</v>
      </c>
      <c r="AE116">
        <v>3</v>
      </c>
      <c r="AF116">
        <v>3</v>
      </c>
      <c r="AG116">
        <v>2</v>
      </c>
      <c r="AH116">
        <v>5</v>
      </c>
      <c r="AI116">
        <v>5</v>
      </c>
      <c r="AJ116">
        <v>4</v>
      </c>
      <c r="AK116">
        <v>4</v>
      </c>
      <c r="AL116">
        <v>4</v>
      </c>
      <c r="AM116">
        <v>4</v>
      </c>
      <c r="AN116">
        <v>4</v>
      </c>
      <c r="AO116">
        <v>1</v>
      </c>
      <c r="AP116">
        <v>3</v>
      </c>
      <c r="AQ116">
        <v>4</v>
      </c>
      <c r="AR116">
        <v>2</v>
      </c>
      <c r="AS116">
        <v>4</v>
      </c>
      <c r="AT116">
        <v>2</v>
      </c>
    </row>
    <row r="117" spans="1:46" x14ac:dyDescent="0.3">
      <c r="A117">
        <v>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5</v>
      </c>
      <c r="I117">
        <v>5</v>
      </c>
      <c r="J117">
        <v>3</v>
      </c>
      <c r="K117">
        <v>4</v>
      </c>
      <c r="L117">
        <v>4</v>
      </c>
      <c r="M117">
        <v>4</v>
      </c>
      <c r="N117">
        <v>5</v>
      </c>
      <c r="O117">
        <v>5</v>
      </c>
      <c r="P117">
        <v>5</v>
      </c>
      <c r="Q117">
        <v>5</v>
      </c>
      <c r="R117">
        <v>5</v>
      </c>
      <c r="S117">
        <v>4</v>
      </c>
      <c r="T117">
        <v>5</v>
      </c>
      <c r="U117">
        <v>5</v>
      </c>
      <c r="V117">
        <v>3</v>
      </c>
      <c r="W117">
        <v>3</v>
      </c>
      <c r="X117">
        <v>5</v>
      </c>
      <c r="Y117">
        <v>4</v>
      </c>
      <c r="Z117">
        <v>5</v>
      </c>
      <c r="AA117">
        <v>4</v>
      </c>
      <c r="AB117">
        <v>2</v>
      </c>
      <c r="AC117">
        <v>2</v>
      </c>
      <c r="AD117">
        <v>3</v>
      </c>
      <c r="AE117">
        <v>4</v>
      </c>
      <c r="AF117">
        <v>4</v>
      </c>
      <c r="AG117">
        <v>2</v>
      </c>
      <c r="AH117">
        <v>3</v>
      </c>
      <c r="AI117">
        <v>4</v>
      </c>
      <c r="AJ117">
        <v>5</v>
      </c>
      <c r="AK117">
        <v>4</v>
      </c>
      <c r="AL117">
        <v>5</v>
      </c>
      <c r="AM117">
        <v>5</v>
      </c>
      <c r="AN117">
        <v>5</v>
      </c>
      <c r="AO117">
        <v>2</v>
      </c>
      <c r="AP117">
        <v>5</v>
      </c>
      <c r="AQ117">
        <v>5</v>
      </c>
      <c r="AR117">
        <v>5</v>
      </c>
      <c r="AS117">
        <v>5</v>
      </c>
      <c r="AT117">
        <v>5</v>
      </c>
    </row>
    <row r="118" spans="1:46" x14ac:dyDescent="0.3">
      <c r="A118">
        <v>4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3</v>
      </c>
      <c r="M118">
        <v>5</v>
      </c>
      <c r="N118">
        <v>5</v>
      </c>
      <c r="O118">
        <v>5</v>
      </c>
      <c r="P118">
        <v>5</v>
      </c>
      <c r="Q118">
        <v>5</v>
      </c>
      <c r="R118">
        <v>5</v>
      </c>
      <c r="S118">
        <v>5</v>
      </c>
      <c r="T118">
        <v>5</v>
      </c>
      <c r="U118">
        <v>5</v>
      </c>
      <c r="V118">
        <v>5</v>
      </c>
      <c r="W118">
        <v>5</v>
      </c>
      <c r="X118">
        <v>5</v>
      </c>
      <c r="Y118">
        <v>5</v>
      </c>
      <c r="Z118">
        <v>5</v>
      </c>
      <c r="AA118">
        <v>5</v>
      </c>
      <c r="AB118">
        <v>3</v>
      </c>
      <c r="AC118">
        <v>5</v>
      </c>
      <c r="AD118">
        <v>4</v>
      </c>
      <c r="AE118">
        <v>3</v>
      </c>
      <c r="AF118">
        <v>4</v>
      </c>
      <c r="AG118">
        <v>1</v>
      </c>
      <c r="AH118">
        <v>3</v>
      </c>
      <c r="AI118">
        <v>3</v>
      </c>
      <c r="AJ118">
        <v>4</v>
      </c>
      <c r="AK118">
        <v>4</v>
      </c>
      <c r="AL118">
        <v>5</v>
      </c>
      <c r="AM118">
        <v>5</v>
      </c>
      <c r="AN118">
        <v>5</v>
      </c>
      <c r="AO118">
        <v>4</v>
      </c>
      <c r="AP118">
        <v>5</v>
      </c>
      <c r="AQ118">
        <v>5</v>
      </c>
      <c r="AR118">
        <v>5</v>
      </c>
      <c r="AS118">
        <v>5</v>
      </c>
      <c r="AT118">
        <v>5</v>
      </c>
    </row>
    <row r="119" spans="1:46" x14ac:dyDescent="0.3">
      <c r="A119">
        <v>3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4</v>
      </c>
      <c r="H119">
        <v>5</v>
      </c>
      <c r="I119">
        <v>5</v>
      </c>
      <c r="J119">
        <v>2</v>
      </c>
      <c r="K119">
        <v>3</v>
      </c>
      <c r="L119">
        <v>3</v>
      </c>
      <c r="M119">
        <v>3</v>
      </c>
      <c r="N119">
        <v>4</v>
      </c>
      <c r="O119">
        <v>5</v>
      </c>
      <c r="P119">
        <v>4</v>
      </c>
      <c r="Q119">
        <v>5</v>
      </c>
      <c r="R119">
        <v>4</v>
      </c>
      <c r="S119">
        <v>4</v>
      </c>
      <c r="T119">
        <v>4</v>
      </c>
      <c r="U119">
        <v>3</v>
      </c>
      <c r="V119">
        <v>4</v>
      </c>
      <c r="W119">
        <v>3</v>
      </c>
      <c r="X119">
        <v>5</v>
      </c>
      <c r="Y119">
        <v>5</v>
      </c>
      <c r="Z119">
        <v>4</v>
      </c>
      <c r="AA119">
        <v>4</v>
      </c>
      <c r="AB119">
        <v>2</v>
      </c>
      <c r="AC119">
        <v>4</v>
      </c>
      <c r="AD119">
        <v>4</v>
      </c>
      <c r="AE119">
        <v>3</v>
      </c>
      <c r="AF119">
        <v>4</v>
      </c>
      <c r="AG119">
        <v>2</v>
      </c>
      <c r="AH119">
        <v>4</v>
      </c>
      <c r="AI119">
        <v>4</v>
      </c>
      <c r="AJ119">
        <v>4</v>
      </c>
      <c r="AK119">
        <v>4</v>
      </c>
      <c r="AL119">
        <v>4</v>
      </c>
      <c r="AM119">
        <v>4</v>
      </c>
      <c r="AN119">
        <v>4</v>
      </c>
      <c r="AO119">
        <v>3</v>
      </c>
      <c r="AP119">
        <v>4</v>
      </c>
      <c r="AQ119">
        <v>4</v>
      </c>
      <c r="AR119">
        <v>4</v>
      </c>
      <c r="AS119">
        <v>4</v>
      </c>
      <c r="AT119">
        <v>3</v>
      </c>
    </row>
    <row r="120" spans="1:46" x14ac:dyDescent="0.3">
      <c r="A120">
        <v>3</v>
      </c>
      <c r="B120">
        <v>2</v>
      </c>
      <c r="C120">
        <v>1</v>
      </c>
      <c r="D120">
        <v>2</v>
      </c>
      <c r="E120">
        <v>1</v>
      </c>
      <c r="F120">
        <v>3</v>
      </c>
      <c r="G120">
        <v>4</v>
      </c>
      <c r="H120">
        <v>5</v>
      </c>
      <c r="I120">
        <v>4</v>
      </c>
      <c r="J120">
        <v>1</v>
      </c>
      <c r="K120">
        <v>3</v>
      </c>
      <c r="L120">
        <v>2</v>
      </c>
      <c r="M120">
        <v>4</v>
      </c>
      <c r="N120">
        <v>4</v>
      </c>
      <c r="O120">
        <v>3</v>
      </c>
      <c r="P120">
        <v>4</v>
      </c>
      <c r="Q120">
        <v>4</v>
      </c>
      <c r="R120">
        <v>4</v>
      </c>
      <c r="S120">
        <v>1</v>
      </c>
      <c r="T120">
        <v>4</v>
      </c>
      <c r="U120">
        <v>4</v>
      </c>
      <c r="V120">
        <v>5</v>
      </c>
      <c r="W120">
        <v>5</v>
      </c>
      <c r="X120">
        <v>5</v>
      </c>
      <c r="Y120">
        <v>3</v>
      </c>
      <c r="Z120">
        <v>4</v>
      </c>
      <c r="AA120">
        <v>4</v>
      </c>
      <c r="AB120">
        <v>3</v>
      </c>
      <c r="AC120">
        <v>1</v>
      </c>
      <c r="AD120">
        <v>3</v>
      </c>
      <c r="AE120">
        <v>2</v>
      </c>
      <c r="AF120">
        <v>4</v>
      </c>
      <c r="AG120">
        <v>1</v>
      </c>
      <c r="AH120">
        <v>5</v>
      </c>
      <c r="AI120">
        <v>5</v>
      </c>
      <c r="AJ120">
        <v>4</v>
      </c>
      <c r="AK120">
        <v>4</v>
      </c>
      <c r="AL120">
        <v>5</v>
      </c>
      <c r="AM120">
        <v>3</v>
      </c>
      <c r="AN120">
        <v>4</v>
      </c>
      <c r="AO120">
        <v>1</v>
      </c>
      <c r="AP120">
        <v>4</v>
      </c>
      <c r="AQ120">
        <v>4</v>
      </c>
      <c r="AR120">
        <v>4</v>
      </c>
      <c r="AS120">
        <v>4</v>
      </c>
      <c r="AT120">
        <v>4</v>
      </c>
    </row>
    <row r="121" spans="1:46" x14ac:dyDescent="0.3">
      <c r="A121">
        <v>3</v>
      </c>
      <c r="B121">
        <v>2</v>
      </c>
      <c r="C121">
        <v>2</v>
      </c>
      <c r="D121">
        <v>3</v>
      </c>
      <c r="E121">
        <v>3</v>
      </c>
      <c r="F121">
        <v>3</v>
      </c>
      <c r="G121">
        <v>2</v>
      </c>
      <c r="H121">
        <v>4</v>
      </c>
      <c r="I121">
        <v>5</v>
      </c>
      <c r="J121">
        <v>3</v>
      </c>
      <c r="K121">
        <v>4</v>
      </c>
      <c r="L121">
        <v>5</v>
      </c>
      <c r="M121">
        <v>5</v>
      </c>
      <c r="N121">
        <v>5</v>
      </c>
      <c r="O121">
        <v>5</v>
      </c>
      <c r="P121">
        <v>4</v>
      </c>
      <c r="Q121">
        <v>4</v>
      </c>
      <c r="R121">
        <v>5</v>
      </c>
      <c r="S121">
        <v>5</v>
      </c>
      <c r="T121">
        <v>5</v>
      </c>
      <c r="U121">
        <v>4</v>
      </c>
      <c r="V121">
        <v>4</v>
      </c>
      <c r="W121">
        <v>4</v>
      </c>
      <c r="X121">
        <v>4</v>
      </c>
      <c r="Y121">
        <v>5</v>
      </c>
      <c r="Z121">
        <v>5</v>
      </c>
      <c r="AA121">
        <v>5</v>
      </c>
      <c r="AB121">
        <v>4</v>
      </c>
      <c r="AC121">
        <v>5</v>
      </c>
      <c r="AD121">
        <v>5</v>
      </c>
      <c r="AE121">
        <v>5</v>
      </c>
      <c r="AF121">
        <v>2</v>
      </c>
      <c r="AG121">
        <v>4</v>
      </c>
      <c r="AH121">
        <v>5</v>
      </c>
      <c r="AI121">
        <v>5</v>
      </c>
      <c r="AJ121">
        <v>5</v>
      </c>
      <c r="AK121">
        <v>5</v>
      </c>
      <c r="AL121">
        <v>2</v>
      </c>
      <c r="AM121">
        <v>4</v>
      </c>
      <c r="AN121">
        <v>4</v>
      </c>
      <c r="AO121">
        <v>4</v>
      </c>
      <c r="AP121">
        <v>4</v>
      </c>
      <c r="AQ121">
        <v>4</v>
      </c>
      <c r="AR121">
        <v>5</v>
      </c>
      <c r="AS121">
        <v>5</v>
      </c>
      <c r="AT121">
        <v>5</v>
      </c>
    </row>
    <row r="122" spans="1:46" x14ac:dyDescent="0.3">
      <c r="A122">
        <v>6</v>
      </c>
      <c r="B122">
        <v>2</v>
      </c>
      <c r="C122">
        <v>1</v>
      </c>
      <c r="D122">
        <v>3</v>
      </c>
      <c r="E122">
        <v>1</v>
      </c>
      <c r="F122">
        <v>2</v>
      </c>
      <c r="G122">
        <v>4</v>
      </c>
      <c r="H122">
        <v>5</v>
      </c>
      <c r="I122">
        <v>5</v>
      </c>
      <c r="J122">
        <v>5</v>
      </c>
      <c r="K122">
        <v>5</v>
      </c>
      <c r="L122">
        <v>4</v>
      </c>
      <c r="M122">
        <v>2</v>
      </c>
      <c r="N122">
        <v>5</v>
      </c>
      <c r="O122">
        <v>2</v>
      </c>
      <c r="P122">
        <v>4</v>
      </c>
      <c r="Q122">
        <v>2</v>
      </c>
      <c r="R122">
        <v>4</v>
      </c>
      <c r="S122">
        <v>4</v>
      </c>
      <c r="T122">
        <v>4</v>
      </c>
      <c r="U122">
        <v>4</v>
      </c>
      <c r="V122">
        <v>4</v>
      </c>
      <c r="W122">
        <v>4</v>
      </c>
      <c r="X122">
        <v>4</v>
      </c>
      <c r="Y122">
        <v>2</v>
      </c>
      <c r="Z122">
        <v>4</v>
      </c>
      <c r="AA122">
        <v>2</v>
      </c>
      <c r="AB122">
        <v>1</v>
      </c>
      <c r="AC122">
        <v>4</v>
      </c>
      <c r="AD122">
        <v>2</v>
      </c>
      <c r="AE122">
        <v>2</v>
      </c>
      <c r="AF122">
        <v>4</v>
      </c>
      <c r="AG122">
        <v>2</v>
      </c>
      <c r="AH122">
        <v>3</v>
      </c>
      <c r="AI122">
        <v>3</v>
      </c>
      <c r="AJ122">
        <v>4</v>
      </c>
      <c r="AK122">
        <v>4</v>
      </c>
      <c r="AL122">
        <v>5</v>
      </c>
      <c r="AM122">
        <v>4</v>
      </c>
      <c r="AN122">
        <v>4</v>
      </c>
      <c r="AO122">
        <v>2</v>
      </c>
      <c r="AP122">
        <v>4</v>
      </c>
      <c r="AQ122">
        <v>4</v>
      </c>
      <c r="AR122">
        <v>4</v>
      </c>
      <c r="AS122">
        <v>4</v>
      </c>
      <c r="AT122">
        <v>4</v>
      </c>
    </row>
    <row r="123" spans="1:46" x14ac:dyDescent="0.3">
      <c r="A123">
        <v>4</v>
      </c>
      <c r="B123">
        <v>2</v>
      </c>
      <c r="C123">
        <v>3</v>
      </c>
      <c r="D123">
        <v>4</v>
      </c>
      <c r="E123">
        <v>4</v>
      </c>
      <c r="F123">
        <v>2</v>
      </c>
      <c r="G123">
        <v>1</v>
      </c>
      <c r="H123">
        <v>5</v>
      </c>
      <c r="I123">
        <v>4</v>
      </c>
      <c r="J123">
        <v>1</v>
      </c>
      <c r="K123">
        <v>3</v>
      </c>
      <c r="L123">
        <v>2</v>
      </c>
      <c r="M123">
        <v>5</v>
      </c>
      <c r="N123">
        <v>3</v>
      </c>
      <c r="O123">
        <v>5</v>
      </c>
      <c r="P123">
        <v>4</v>
      </c>
      <c r="Q123">
        <v>4</v>
      </c>
      <c r="R123">
        <v>3</v>
      </c>
      <c r="S123">
        <v>2</v>
      </c>
      <c r="T123">
        <v>5</v>
      </c>
      <c r="U123">
        <v>4</v>
      </c>
      <c r="V123">
        <v>2</v>
      </c>
      <c r="W123">
        <v>1</v>
      </c>
      <c r="X123">
        <v>4</v>
      </c>
      <c r="Y123">
        <v>5</v>
      </c>
      <c r="Z123">
        <v>1</v>
      </c>
      <c r="AA123">
        <v>4</v>
      </c>
      <c r="AB123">
        <v>2</v>
      </c>
      <c r="AC123">
        <v>3</v>
      </c>
      <c r="AD123">
        <v>4</v>
      </c>
      <c r="AE123">
        <v>3</v>
      </c>
      <c r="AF123">
        <v>3</v>
      </c>
      <c r="AG123">
        <v>3</v>
      </c>
      <c r="AH123">
        <v>3</v>
      </c>
      <c r="AI123">
        <v>5</v>
      </c>
      <c r="AJ123">
        <v>5</v>
      </c>
      <c r="AK123">
        <v>5</v>
      </c>
      <c r="AL123">
        <v>5</v>
      </c>
      <c r="AM123">
        <v>4</v>
      </c>
      <c r="AN123">
        <v>5</v>
      </c>
      <c r="AO123">
        <v>1</v>
      </c>
      <c r="AP123">
        <v>4</v>
      </c>
      <c r="AQ123">
        <v>5</v>
      </c>
      <c r="AR123">
        <v>1</v>
      </c>
      <c r="AS123">
        <v>4</v>
      </c>
      <c r="AT123">
        <v>5</v>
      </c>
    </row>
    <row r="124" spans="1:46" x14ac:dyDescent="0.3">
      <c r="A124">
        <v>4</v>
      </c>
      <c r="B124">
        <v>2</v>
      </c>
      <c r="C124">
        <v>3</v>
      </c>
      <c r="D124">
        <v>5</v>
      </c>
      <c r="E124">
        <v>3</v>
      </c>
      <c r="F124">
        <v>2</v>
      </c>
      <c r="G124">
        <v>3</v>
      </c>
      <c r="H124">
        <v>3</v>
      </c>
      <c r="I124">
        <v>4</v>
      </c>
      <c r="J124">
        <v>3</v>
      </c>
      <c r="K124">
        <v>2</v>
      </c>
      <c r="L124">
        <v>3</v>
      </c>
      <c r="M124">
        <v>5</v>
      </c>
      <c r="N124">
        <v>5</v>
      </c>
      <c r="O124">
        <v>3</v>
      </c>
      <c r="P124">
        <v>5</v>
      </c>
      <c r="Q124">
        <v>5</v>
      </c>
      <c r="R124">
        <v>5</v>
      </c>
      <c r="S124">
        <v>3</v>
      </c>
      <c r="T124">
        <v>3</v>
      </c>
      <c r="U124">
        <v>3</v>
      </c>
      <c r="V124">
        <v>3</v>
      </c>
      <c r="W124">
        <v>3</v>
      </c>
      <c r="X124">
        <v>3</v>
      </c>
      <c r="Y124">
        <v>3</v>
      </c>
      <c r="Z124">
        <v>3</v>
      </c>
      <c r="AA124">
        <v>3</v>
      </c>
      <c r="AB124">
        <v>3</v>
      </c>
      <c r="AC124">
        <v>3</v>
      </c>
      <c r="AD124">
        <v>3</v>
      </c>
      <c r="AE124">
        <v>3</v>
      </c>
      <c r="AF124">
        <v>3</v>
      </c>
      <c r="AG124">
        <v>3</v>
      </c>
      <c r="AH124">
        <v>3</v>
      </c>
      <c r="AI124">
        <v>3</v>
      </c>
      <c r="AJ124">
        <v>4</v>
      </c>
      <c r="AK124">
        <v>4</v>
      </c>
      <c r="AL124">
        <v>4</v>
      </c>
      <c r="AM124">
        <v>4</v>
      </c>
      <c r="AN124">
        <v>4</v>
      </c>
      <c r="AO124">
        <v>4</v>
      </c>
      <c r="AP124">
        <v>4</v>
      </c>
      <c r="AQ124">
        <v>4</v>
      </c>
      <c r="AR124">
        <v>4</v>
      </c>
      <c r="AS124">
        <v>4</v>
      </c>
      <c r="AT124">
        <v>4</v>
      </c>
    </row>
    <row r="125" spans="1:46" x14ac:dyDescent="0.3">
      <c r="A125">
        <v>5</v>
      </c>
      <c r="B125">
        <v>2</v>
      </c>
      <c r="C125">
        <v>2</v>
      </c>
      <c r="D125">
        <v>5</v>
      </c>
      <c r="E125">
        <v>4</v>
      </c>
      <c r="F125">
        <v>2</v>
      </c>
      <c r="G125">
        <v>5</v>
      </c>
      <c r="H125">
        <v>4</v>
      </c>
      <c r="I125">
        <v>4</v>
      </c>
      <c r="J125">
        <v>4</v>
      </c>
      <c r="K125">
        <v>5</v>
      </c>
      <c r="L125">
        <v>5</v>
      </c>
      <c r="M125">
        <v>5</v>
      </c>
      <c r="N125">
        <v>5</v>
      </c>
      <c r="O125">
        <v>5</v>
      </c>
      <c r="P125">
        <v>5</v>
      </c>
      <c r="Q125">
        <v>4</v>
      </c>
      <c r="R125">
        <v>5</v>
      </c>
      <c r="S125">
        <v>5</v>
      </c>
      <c r="T125">
        <v>5</v>
      </c>
      <c r="U125">
        <v>5</v>
      </c>
      <c r="V125">
        <v>4</v>
      </c>
      <c r="W125">
        <v>4</v>
      </c>
      <c r="X125">
        <v>5</v>
      </c>
      <c r="Y125">
        <v>5</v>
      </c>
      <c r="Z125">
        <v>1</v>
      </c>
      <c r="AA125">
        <v>5</v>
      </c>
      <c r="AB125">
        <v>5</v>
      </c>
      <c r="AC125">
        <v>5</v>
      </c>
      <c r="AD125">
        <v>5</v>
      </c>
      <c r="AE125">
        <v>5</v>
      </c>
      <c r="AF125">
        <v>5</v>
      </c>
      <c r="AG125">
        <v>1</v>
      </c>
      <c r="AH125">
        <v>3</v>
      </c>
      <c r="AI125">
        <v>5</v>
      </c>
      <c r="AJ125">
        <v>5</v>
      </c>
      <c r="AK125">
        <v>5</v>
      </c>
      <c r="AL125">
        <v>5</v>
      </c>
      <c r="AM125">
        <v>5</v>
      </c>
      <c r="AN125">
        <v>5</v>
      </c>
      <c r="AO125">
        <v>1</v>
      </c>
      <c r="AP125">
        <v>5</v>
      </c>
      <c r="AQ125">
        <v>5</v>
      </c>
      <c r="AR125">
        <v>5</v>
      </c>
      <c r="AS125">
        <v>5</v>
      </c>
      <c r="AT125">
        <v>5</v>
      </c>
    </row>
    <row r="126" spans="1:46" x14ac:dyDescent="0.3">
      <c r="A126">
        <v>3</v>
      </c>
      <c r="B126">
        <v>2</v>
      </c>
      <c r="C126">
        <v>2</v>
      </c>
      <c r="D126">
        <v>3</v>
      </c>
      <c r="E126">
        <v>2</v>
      </c>
      <c r="F126">
        <v>3</v>
      </c>
      <c r="G126">
        <v>3</v>
      </c>
      <c r="H126">
        <v>4</v>
      </c>
      <c r="I126">
        <v>5</v>
      </c>
      <c r="J126">
        <v>3</v>
      </c>
      <c r="K126">
        <v>5</v>
      </c>
      <c r="L126">
        <v>3</v>
      </c>
      <c r="M126">
        <v>5</v>
      </c>
      <c r="N126">
        <v>5</v>
      </c>
      <c r="O126">
        <v>3</v>
      </c>
      <c r="P126">
        <v>5</v>
      </c>
      <c r="Q126">
        <v>4</v>
      </c>
      <c r="R126">
        <v>5</v>
      </c>
      <c r="S126">
        <v>5</v>
      </c>
      <c r="T126">
        <v>3</v>
      </c>
      <c r="U126">
        <v>5</v>
      </c>
      <c r="V126">
        <v>4</v>
      </c>
      <c r="W126">
        <v>4</v>
      </c>
      <c r="X126">
        <v>5</v>
      </c>
      <c r="Y126">
        <v>3</v>
      </c>
      <c r="Z126">
        <v>3</v>
      </c>
      <c r="AA126">
        <v>5</v>
      </c>
      <c r="AB126">
        <v>2</v>
      </c>
      <c r="AC126">
        <v>4</v>
      </c>
      <c r="AD126">
        <v>3</v>
      </c>
      <c r="AE126">
        <v>3</v>
      </c>
      <c r="AF126">
        <v>4</v>
      </c>
      <c r="AG126">
        <v>3</v>
      </c>
      <c r="AH126">
        <v>5</v>
      </c>
      <c r="AI126">
        <v>5</v>
      </c>
      <c r="AJ126">
        <v>3</v>
      </c>
      <c r="AK126">
        <v>4</v>
      </c>
      <c r="AL126">
        <v>4</v>
      </c>
      <c r="AM126">
        <v>5</v>
      </c>
      <c r="AN126">
        <v>5</v>
      </c>
      <c r="AO126">
        <v>2</v>
      </c>
      <c r="AP126">
        <v>5</v>
      </c>
      <c r="AQ126">
        <v>4</v>
      </c>
      <c r="AR126">
        <v>3</v>
      </c>
      <c r="AS126">
        <v>5</v>
      </c>
      <c r="AT126">
        <v>5</v>
      </c>
    </row>
    <row r="127" spans="1:46" x14ac:dyDescent="0.3">
      <c r="A127">
        <v>6</v>
      </c>
      <c r="B127">
        <v>2</v>
      </c>
      <c r="C127">
        <v>3</v>
      </c>
      <c r="D127">
        <v>5</v>
      </c>
      <c r="E127">
        <v>4</v>
      </c>
      <c r="F127">
        <v>2</v>
      </c>
      <c r="G127">
        <v>5</v>
      </c>
      <c r="H127">
        <v>4</v>
      </c>
      <c r="I127">
        <v>4</v>
      </c>
      <c r="J127">
        <v>3</v>
      </c>
      <c r="K127">
        <v>4</v>
      </c>
      <c r="L127">
        <v>4</v>
      </c>
      <c r="M127">
        <v>4</v>
      </c>
      <c r="N127">
        <v>5</v>
      </c>
      <c r="O127">
        <v>5</v>
      </c>
      <c r="P127">
        <v>5</v>
      </c>
      <c r="Q127">
        <v>4</v>
      </c>
      <c r="R127">
        <v>5</v>
      </c>
      <c r="S127">
        <v>5</v>
      </c>
      <c r="T127">
        <v>5</v>
      </c>
      <c r="U127">
        <v>5</v>
      </c>
      <c r="V127">
        <v>3</v>
      </c>
      <c r="W127">
        <v>4</v>
      </c>
      <c r="X127">
        <v>5</v>
      </c>
      <c r="Y127">
        <v>4</v>
      </c>
      <c r="Z127">
        <v>5</v>
      </c>
      <c r="AA127">
        <v>5</v>
      </c>
      <c r="AB127">
        <v>2</v>
      </c>
      <c r="AC127">
        <v>3</v>
      </c>
      <c r="AD127">
        <v>4</v>
      </c>
      <c r="AE127">
        <v>2</v>
      </c>
      <c r="AF127">
        <v>4</v>
      </c>
      <c r="AG127">
        <v>2</v>
      </c>
      <c r="AH127">
        <v>3</v>
      </c>
      <c r="AI127">
        <v>5</v>
      </c>
      <c r="AJ127">
        <v>5</v>
      </c>
      <c r="AK127">
        <v>5</v>
      </c>
      <c r="AL127">
        <v>4</v>
      </c>
      <c r="AM127">
        <v>4</v>
      </c>
      <c r="AN127">
        <v>5</v>
      </c>
      <c r="AO127">
        <v>3</v>
      </c>
      <c r="AP127">
        <v>4</v>
      </c>
      <c r="AQ127">
        <v>2</v>
      </c>
      <c r="AR127">
        <v>4</v>
      </c>
      <c r="AS127">
        <v>4</v>
      </c>
      <c r="AT127">
        <v>5</v>
      </c>
    </row>
    <row r="128" spans="1:46" x14ac:dyDescent="0.3">
      <c r="A128">
        <v>3</v>
      </c>
      <c r="B128">
        <v>2</v>
      </c>
      <c r="C128">
        <v>2</v>
      </c>
      <c r="D128">
        <v>2</v>
      </c>
      <c r="E128">
        <v>2</v>
      </c>
      <c r="F128">
        <v>3</v>
      </c>
      <c r="G128">
        <v>2</v>
      </c>
      <c r="H128">
        <v>3</v>
      </c>
      <c r="I128">
        <v>4</v>
      </c>
      <c r="J128">
        <v>3</v>
      </c>
      <c r="K128">
        <v>3</v>
      </c>
      <c r="L128">
        <v>1</v>
      </c>
      <c r="M128">
        <v>1</v>
      </c>
      <c r="N128">
        <v>2</v>
      </c>
      <c r="O128">
        <v>5</v>
      </c>
      <c r="P128">
        <v>3</v>
      </c>
      <c r="Q128">
        <v>2</v>
      </c>
      <c r="R128">
        <v>4</v>
      </c>
      <c r="S128">
        <v>4</v>
      </c>
      <c r="T128">
        <v>4</v>
      </c>
      <c r="U128">
        <v>4</v>
      </c>
      <c r="V128">
        <v>5</v>
      </c>
      <c r="W128">
        <v>5</v>
      </c>
      <c r="X128">
        <v>2</v>
      </c>
      <c r="Y128">
        <v>1</v>
      </c>
      <c r="Z128">
        <v>3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4</v>
      </c>
      <c r="AH128">
        <v>5</v>
      </c>
      <c r="AI128">
        <v>5</v>
      </c>
      <c r="AJ128">
        <v>4</v>
      </c>
      <c r="AK128">
        <v>3</v>
      </c>
      <c r="AL128">
        <v>4</v>
      </c>
      <c r="AM128">
        <v>3</v>
      </c>
      <c r="AN128">
        <v>3</v>
      </c>
      <c r="AO128">
        <v>5</v>
      </c>
      <c r="AP128">
        <v>3</v>
      </c>
      <c r="AQ128">
        <v>5</v>
      </c>
      <c r="AR128">
        <v>1</v>
      </c>
      <c r="AS128">
        <v>5</v>
      </c>
      <c r="AT128">
        <v>5</v>
      </c>
    </row>
    <row r="129" spans="1:46" x14ac:dyDescent="0.3">
      <c r="A129">
        <v>3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4</v>
      </c>
      <c r="H129">
        <v>5</v>
      </c>
      <c r="I129">
        <v>5</v>
      </c>
      <c r="J129">
        <v>2</v>
      </c>
      <c r="K129">
        <v>4</v>
      </c>
      <c r="L129">
        <v>1</v>
      </c>
      <c r="M129">
        <v>3</v>
      </c>
      <c r="N129">
        <v>5</v>
      </c>
      <c r="O129">
        <v>5</v>
      </c>
      <c r="P129">
        <v>5</v>
      </c>
      <c r="Q129">
        <v>5</v>
      </c>
      <c r="R129">
        <v>3</v>
      </c>
      <c r="S129">
        <v>4</v>
      </c>
      <c r="T129">
        <v>4</v>
      </c>
      <c r="U129">
        <v>4</v>
      </c>
      <c r="V129">
        <v>2</v>
      </c>
      <c r="W129">
        <v>3</v>
      </c>
      <c r="X129">
        <v>4</v>
      </c>
      <c r="Y129">
        <v>4</v>
      </c>
      <c r="Z129">
        <v>4</v>
      </c>
      <c r="AA129">
        <v>4</v>
      </c>
      <c r="AB129">
        <v>2</v>
      </c>
      <c r="AC129">
        <v>4</v>
      </c>
      <c r="AD129">
        <v>4</v>
      </c>
      <c r="AE129">
        <v>2</v>
      </c>
      <c r="AF129">
        <v>4</v>
      </c>
      <c r="AG129">
        <v>2</v>
      </c>
      <c r="AH129">
        <v>4</v>
      </c>
      <c r="AI129">
        <v>4</v>
      </c>
      <c r="AJ129">
        <v>4</v>
      </c>
      <c r="AK129">
        <v>4</v>
      </c>
      <c r="AL129">
        <v>4</v>
      </c>
      <c r="AM129">
        <v>4</v>
      </c>
      <c r="AN129">
        <v>4</v>
      </c>
      <c r="AO129">
        <v>2</v>
      </c>
      <c r="AP129">
        <v>4</v>
      </c>
      <c r="AQ129">
        <v>4</v>
      </c>
      <c r="AR129">
        <v>4</v>
      </c>
      <c r="AS129">
        <v>4</v>
      </c>
      <c r="AT129">
        <v>4</v>
      </c>
    </row>
    <row r="130" spans="1:46" x14ac:dyDescent="0.3">
      <c r="A130">
        <v>4</v>
      </c>
      <c r="B130">
        <v>2</v>
      </c>
      <c r="C130">
        <v>1</v>
      </c>
      <c r="D130">
        <v>4</v>
      </c>
      <c r="E130">
        <v>1</v>
      </c>
      <c r="F130">
        <v>2</v>
      </c>
      <c r="G130">
        <v>2</v>
      </c>
      <c r="H130">
        <v>1</v>
      </c>
      <c r="I130">
        <v>1</v>
      </c>
      <c r="J130">
        <v>1</v>
      </c>
      <c r="K130">
        <v>2</v>
      </c>
      <c r="L130">
        <v>2</v>
      </c>
      <c r="M130">
        <v>1</v>
      </c>
      <c r="N130">
        <v>1</v>
      </c>
      <c r="O130">
        <v>5</v>
      </c>
      <c r="P130">
        <v>5</v>
      </c>
      <c r="Q130">
        <v>2</v>
      </c>
      <c r="R130">
        <v>5</v>
      </c>
      <c r="S130">
        <v>1</v>
      </c>
      <c r="T130">
        <v>5</v>
      </c>
      <c r="U130">
        <v>5</v>
      </c>
      <c r="V130">
        <v>5</v>
      </c>
      <c r="W130">
        <v>5</v>
      </c>
      <c r="X130">
        <v>5</v>
      </c>
      <c r="Y130">
        <v>5</v>
      </c>
      <c r="Z130">
        <v>5</v>
      </c>
      <c r="AA130">
        <v>5</v>
      </c>
      <c r="AB130">
        <v>2</v>
      </c>
      <c r="AC130">
        <v>5</v>
      </c>
      <c r="AD130">
        <v>5</v>
      </c>
      <c r="AE130">
        <v>5</v>
      </c>
      <c r="AF130">
        <v>5</v>
      </c>
      <c r="AG130">
        <v>1</v>
      </c>
      <c r="AH130">
        <v>2</v>
      </c>
      <c r="AI130">
        <v>5</v>
      </c>
      <c r="AJ130">
        <v>5</v>
      </c>
      <c r="AK130">
        <v>5</v>
      </c>
      <c r="AL130">
        <v>5</v>
      </c>
      <c r="AM130">
        <v>5</v>
      </c>
      <c r="AN130">
        <v>5</v>
      </c>
      <c r="AO130">
        <v>1</v>
      </c>
      <c r="AP130">
        <v>5</v>
      </c>
      <c r="AQ130">
        <v>5</v>
      </c>
      <c r="AR130">
        <v>5</v>
      </c>
      <c r="AS130">
        <v>5</v>
      </c>
      <c r="AT130">
        <v>5</v>
      </c>
    </row>
    <row r="131" spans="1:46" x14ac:dyDescent="0.3">
      <c r="A131">
        <v>5</v>
      </c>
      <c r="B131">
        <v>2</v>
      </c>
      <c r="C131">
        <v>2</v>
      </c>
      <c r="D131">
        <v>2</v>
      </c>
      <c r="E131">
        <v>3</v>
      </c>
      <c r="F131">
        <v>2</v>
      </c>
      <c r="G131">
        <v>5</v>
      </c>
      <c r="H131">
        <v>5</v>
      </c>
      <c r="I131">
        <v>5</v>
      </c>
      <c r="J131">
        <v>3</v>
      </c>
      <c r="K131">
        <v>4</v>
      </c>
      <c r="L131">
        <v>3</v>
      </c>
      <c r="M131">
        <v>5</v>
      </c>
      <c r="N131">
        <v>5</v>
      </c>
      <c r="O131">
        <v>5</v>
      </c>
      <c r="P131">
        <v>5</v>
      </c>
      <c r="Q131">
        <v>3</v>
      </c>
      <c r="R131">
        <v>5</v>
      </c>
      <c r="S131">
        <v>5</v>
      </c>
      <c r="T131">
        <v>3</v>
      </c>
      <c r="U131">
        <v>3</v>
      </c>
      <c r="V131">
        <v>1</v>
      </c>
      <c r="W131">
        <v>5</v>
      </c>
      <c r="X131">
        <v>5</v>
      </c>
      <c r="Y131">
        <v>1</v>
      </c>
      <c r="Z131">
        <v>3</v>
      </c>
      <c r="AA131">
        <v>5</v>
      </c>
      <c r="AB131">
        <v>2</v>
      </c>
      <c r="AC131">
        <v>3</v>
      </c>
      <c r="AD131">
        <v>5</v>
      </c>
      <c r="AE131">
        <v>3</v>
      </c>
      <c r="AF131">
        <v>5</v>
      </c>
      <c r="AG131">
        <v>3</v>
      </c>
      <c r="AH131">
        <v>4</v>
      </c>
      <c r="AI131">
        <v>5</v>
      </c>
      <c r="AJ131">
        <v>4</v>
      </c>
      <c r="AK131">
        <v>4</v>
      </c>
      <c r="AL131">
        <v>2</v>
      </c>
      <c r="AM131">
        <v>4</v>
      </c>
      <c r="AN131">
        <v>5</v>
      </c>
      <c r="AO131">
        <v>4</v>
      </c>
      <c r="AP131">
        <v>5</v>
      </c>
      <c r="AQ131">
        <v>5</v>
      </c>
      <c r="AR131">
        <v>3</v>
      </c>
      <c r="AS131">
        <v>5</v>
      </c>
      <c r="AT131">
        <v>5</v>
      </c>
    </row>
    <row r="132" spans="1:46" x14ac:dyDescent="0.3">
      <c r="A132">
        <v>4</v>
      </c>
      <c r="B132">
        <v>2</v>
      </c>
      <c r="C132">
        <v>3</v>
      </c>
      <c r="D132">
        <v>3</v>
      </c>
      <c r="E132">
        <v>2</v>
      </c>
      <c r="F132">
        <v>2</v>
      </c>
      <c r="G132">
        <v>3</v>
      </c>
      <c r="H132">
        <v>4</v>
      </c>
      <c r="I132">
        <v>5</v>
      </c>
      <c r="J132">
        <v>4</v>
      </c>
      <c r="K132">
        <v>5</v>
      </c>
      <c r="L132">
        <v>4</v>
      </c>
      <c r="M132">
        <v>4</v>
      </c>
      <c r="N132">
        <v>4</v>
      </c>
      <c r="O132">
        <v>5</v>
      </c>
      <c r="P132">
        <v>5</v>
      </c>
      <c r="Q132">
        <v>5</v>
      </c>
      <c r="R132">
        <v>4</v>
      </c>
      <c r="S132">
        <v>2</v>
      </c>
      <c r="T132">
        <v>4</v>
      </c>
      <c r="U132">
        <v>4</v>
      </c>
      <c r="V132">
        <v>3</v>
      </c>
      <c r="W132">
        <v>4</v>
      </c>
      <c r="X132">
        <v>4</v>
      </c>
      <c r="Y132">
        <v>5</v>
      </c>
      <c r="Z132">
        <v>5</v>
      </c>
      <c r="AA132">
        <v>5</v>
      </c>
      <c r="AB132">
        <v>2</v>
      </c>
      <c r="AC132">
        <v>3</v>
      </c>
      <c r="AD132">
        <v>3</v>
      </c>
      <c r="AE132">
        <v>4</v>
      </c>
      <c r="AF132">
        <v>4</v>
      </c>
      <c r="AG132">
        <v>2</v>
      </c>
      <c r="AH132">
        <v>3</v>
      </c>
      <c r="AI132">
        <v>5</v>
      </c>
      <c r="AJ132">
        <v>4</v>
      </c>
      <c r="AK132">
        <v>5</v>
      </c>
      <c r="AL132">
        <v>4</v>
      </c>
      <c r="AM132">
        <v>5</v>
      </c>
      <c r="AN132">
        <v>5</v>
      </c>
      <c r="AO132">
        <v>1</v>
      </c>
      <c r="AP132">
        <v>4</v>
      </c>
      <c r="AQ132">
        <v>4</v>
      </c>
      <c r="AR132">
        <v>4</v>
      </c>
      <c r="AS132">
        <v>5</v>
      </c>
      <c r="AT132">
        <v>4</v>
      </c>
    </row>
    <row r="133" spans="1:46" x14ac:dyDescent="0.3">
      <c r="A133">
        <v>3</v>
      </c>
      <c r="B133">
        <v>2</v>
      </c>
      <c r="C133">
        <v>2</v>
      </c>
      <c r="D133">
        <v>2</v>
      </c>
      <c r="E133">
        <v>3</v>
      </c>
      <c r="F133">
        <v>2</v>
      </c>
      <c r="G133">
        <v>4</v>
      </c>
      <c r="H133">
        <v>4</v>
      </c>
      <c r="I133">
        <v>2</v>
      </c>
      <c r="J133">
        <v>2</v>
      </c>
      <c r="K133">
        <v>2</v>
      </c>
      <c r="L133">
        <v>2</v>
      </c>
      <c r="M133">
        <v>3</v>
      </c>
      <c r="N133">
        <v>4</v>
      </c>
      <c r="O133">
        <v>5</v>
      </c>
      <c r="P133">
        <v>4</v>
      </c>
      <c r="Q133">
        <v>2</v>
      </c>
      <c r="R133">
        <v>5</v>
      </c>
      <c r="S133">
        <v>4</v>
      </c>
      <c r="T133">
        <v>4</v>
      </c>
      <c r="U133">
        <v>4</v>
      </c>
      <c r="V133">
        <v>4</v>
      </c>
      <c r="W133">
        <v>2</v>
      </c>
      <c r="X133">
        <v>5</v>
      </c>
      <c r="Y133">
        <v>4</v>
      </c>
      <c r="Z133">
        <v>4</v>
      </c>
      <c r="AA133">
        <v>4</v>
      </c>
      <c r="AB133">
        <v>1</v>
      </c>
      <c r="AC133">
        <v>4</v>
      </c>
      <c r="AD133">
        <v>3</v>
      </c>
      <c r="AE133">
        <v>2</v>
      </c>
      <c r="AF133">
        <v>4</v>
      </c>
      <c r="AG133">
        <v>2</v>
      </c>
      <c r="AH133">
        <v>3</v>
      </c>
      <c r="AI133">
        <v>4</v>
      </c>
      <c r="AJ133">
        <v>5</v>
      </c>
      <c r="AK133">
        <v>4</v>
      </c>
      <c r="AL133">
        <v>2</v>
      </c>
      <c r="AM133">
        <v>3</v>
      </c>
      <c r="AN133">
        <v>4</v>
      </c>
      <c r="AO133">
        <v>1</v>
      </c>
      <c r="AP133">
        <v>2</v>
      </c>
      <c r="AQ133">
        <v>4</v>
      </c>
      <c r="AR133">
        <v>4</v>
      </c>
      <c r="AS133">
        <v>4</v>
      </c>
      <c r="AT133">
        <v>4</v>
      </c>
    </row>
    <row r="134" spans="1:46" x14ac:dyDescent="0.3">
      <c r="A134">
        <v>2</v>
      </c>
      <c r="B134">
        <v>1</v>
      </c>
      <c r="C134">
        <v>1</v>
      </c>
      <c r="D134">
        <v>1</v>
      </c>
      <c r="E134">
        <v>1</v>
      </c>
      <c r="F134">
        <v>2</v>
      </c>
      <c r="G134">
        <v>3</v>
      </c>
      <c r="H134">
        <v>2</v>
      </c>
      <c r="I134">
        <v>4</v>
      </c>
      <c r="J134">
        <v>2</v>
      </c>
      <c r="K134">
        <v>4</v>
      </c>
      <c r="L134">
        <v>3</v>
      </c>
      <c r="M134">
        <v>4</v>
      </c>
      <c r="N134">
        <v>4</v>
      </c>
      <c r="O134">
        <v>4</v>
      </c>
      <c r="P134">
        <v>4</v>
      </c>
      <c r="Q134">
        <v>3</v>
      </c>
      <c r="R134">
        <v>3</v>
      </c>
      <c r="S134">
        <v>4</v>
      </c>
      <c r="T134">
        <v>4</v>
      </c>
      <c r="U134">
        <v>4</v>
      </c>
      <c r="V134">
        <v>2</v>
      </c>
      <c r="W134">
        <v>3</v>
      </c>
      <c r="X134">
        <v>3</v>
      </c>
      <c r="Y134">
        <v>3</v>
      </c>
      <c r="Z134">
        <v>4</v>
      </c>
      <c r="AA134">
        <v>2</v>
      </c>
      <c r="AB134">
        <v>4</v>
      </c>
      <c r="AC134">
        <v>2</v>
      </c>
      <c r="AD134">
        <v>3</v>
      </c>
      <c r="AE134">
        <v>3</v>
      </c>
      <c r="AF134">
        <v>2</v>
      </c>
      <c r="AG134">
        <v>3</v>
      </c>
      <c r="AH134">
        <v>3</v>
      </c>
      <c r="AI134">
        <v>4</v>
      </c>
      <c r="AJ134">
        <v>4</v>
      </c>
      <c r="AK134">
        <v>4</v>
      </c>
      <c r="AL134">
        <v>4</v>
      </c>
      <c r="AM134">
        <v>4</v>
      </c>
      <c r="AN134">
        <v>4</v>
      </c>
      <c r="AO134">
        <v>2</v>
      </c>
      <c r="AP134">
        <v>4</v>
      </c>
      <c r="AQ134">
        <v>3</v>
      </c>
      <c r="AR134">
        <v>4</v>
      </c>
      <c r="AS134">
        <v>4</v>
      </c>
      <c r="AT134">
        <v>3</v>
      </c>
    </row>
    <row r="135" spans="1:46" x14ac:dyDescent="0.3">
      <c r="A135">
        <v>5</v>
      </c>
      <c r="B135">
        <v>2</v>
      </c>
      <c r="C135">
        <v>1</v>
      </c>
      <c r="D135">
        <v>2</v>
      </c>
      <c r="E135">
        <v>1</v>
      </c>
      <c r="F135">
        <v>1</v>
      </c>
      <c r="G135">
        <v>5</v>
      </c>
      <c r="H135">
        <v>4</v>
      </c>
      <c r="I135">
        <v>4</v>
      </c>
      <c r="J135">
        <v>5</v>
      </c>
      <c r="K135">
        <v>5</v>
      </c>
      <c r="L135">
        <v>1</v>
      </c>
      <c r="M135">
        <v>3</v>
      </c>
      <c r="N135">
        <v>4</v>
      </c>
      <c r="O135">
        <v>3</v>
      </c>
      <c r="P135">
        <v>5</v>
      </c>
      <c r="Q135">
        <v>3</v>
      </c>
      <c r="R135">
        <v>5</v>
      </c>
      <c r="S135">
        <v>4</v>
      </c>
      <c r="T135">
        <v>3</v>
      </c>
      <c r="U135">
        <v>4</v>
      </c>
      <c r="V135">
        <v>5</v>
      </c>
      <c r="W135">
        <v>4</v>
      </c>
      <c r="X135">
        <v>4</v>
      </c>
      <c r="Y135">
        <v>3</v>
      </c>
      <c r="Z135">
        <v>4</v>
      </c>
      <c r="AA135">
        <v>5</v>
      </c>
      <c r="AB135">
        <v>5</v>
      </c>
      <c r="AC135">
        <v>4</v>
      </c>
      <c r="AD135">
        <v>4</v>
      </c>
      <c r="AE135">
        <v>4</v>
      </c>
      <c r="AF135">
        <v>5</v>
      </c>
      <c r="AG135">
        <v>1</v>
      </c>
      <c r="AH135">
        <v>3</v>
      </c>
      <c r="AI135">
        <v>4</v>
      </c>
      <c r="AJ135">
        <v>5</v>
      </c>
      <c r="AK135">
        <v>5</v>
      </c>
      <c r="AL135">
        <v>3</v>
      </c>
      <c r="AM135">
        <v>5</v>
      </c>
      <c r="AN135">
        <v>5</v>
      </c>
      <c r="AO135">
        <v>1</v>
      </c>
      <c r="AP135">
        <v>5</v>
      </c>
      <c r="AQ135">
        <v>5</v>
      </c>
      <c r="AR135">
        <v>4</v>
      </c>
      <c r="AS135">
        <v>5</v>
      </c>
      <c r="AT135">
        <v>5</v>
      </c>
    </row>
    <row r="136" spans="1:46" x14ac:dyDescent="0.3">
      <c r="A136">
        <v>4</v>
      </c>
      <c r="B136">
        <v>2</v>
      </c>
      <c r="C136">
        <v>3</v>
      </c>
      <c r="D136">
        <v>4</v>
      </c>
      <c r="E136">
        <v>3</v>
      </c>
      <c r="F136">
        <v>2</v>
      </c>
      <c r="G136">
        <v>3</v>
      </c>
      <c r="H136">
        <v>4</v>
      </c>
      <c r="I136">
        <v>4</v>
      </c>
      <c r="J136">
        <v>4</v>
      </c>
      <c r="K136">
        <v>4</v>
      </c>
      <c r="L136">
        <v>3</v>
      </c>
      <c r="M136">
        <v>4</v>
      </c>
      <c r="N136">
        <v>4</v>
      </c>
      <c r="O136">
        <v>5</v>
      </c>
      <c r="P136">
        <v>5</v>
      </c>
      <c r="Q136">
        <v>4</v>
      </c>
      <c r="R136">
        <v>5</v>
      </c>
      <c r="S136">
        <v>5</v>
      </c>
      <c r="T136">
        <v>4</v>
      </c>
      <c r="U136">
        <v>5</v>
      </c>
      <c r="V136">
        <v>3</v>
      </c>
      <c r="W136">
        <v>3</v>
      </c>
      <c r="X136">
        <v>5</v>
      </c>
      <c r="Y136">
        <v>4</v>
      </c>
      <c r="Z136">
        <v>5</v>
      </c>
      <c r="AA136">
        <v>5</v>
      </c>
      <c r="AB136">
        <v>3</v>
      </c>
      <c r="AC136">
        <v>4</v>
      </c>
      <c r="AD136">
        <v>5</v>
      </c>
      <c r="AE136">
        <v>4</v>
      </c>
      <c r="AF136">
        <v>4</v>
      </c>
      <c r="AG136">
        <v>2</v>
      </c>
      <c r="AH136">
        <v>2</v>
      </c>
      <c r="AI136">
        <v>4</v>
      </c>
      <c r="AJ136">
        <v>5</v>
      </c>
      <c r="AK136">
        <v>4</v>
      </c>
      <c r="AL136">
        <v>3</v>
      </c>
      <c r="AM136">
        <v>4</v>
      </c>
      <c r="AN136">
        <v>5</v>
      </c>
      <c r="AO136">
        <v>2</v>
      </c>
      <c r="AP136">
        <v>4</v>
      </c>
      <c r="AQ136">
        <v>5</v>
      </c>
      <c r="AR136">
        <v>4</v>
      </c>
      <c r="AS136">
        <v>4</v>
      </c>
      <c r="AT136">
        <v>5</v>
      </c>
    </row>
    <row r="137" spans="1:46" x14ac:dyDescent="0.3">
      <c r="A137">
        <v>3</v>
      </c>
      <c r="B137">
        <v>2</v>
      </c>
      <c r="C137">
        <v>2</v>
      </c>
      <c r="D137">
        <v>3</v>
      </c>
      <c r="E137">
        <v>2</v>
      </c>
      <c r="F137">
        <v>2</v>
      </c>
      <c r="G137">
        <v>3</v>
      </c>
      <c r="H137">
        <v>2</v>
      </c>
      <c r="I137">
        <v>4</v>
      </c>
      <c r="J137">
        <v>2</v>
      </c>
      <c r="K137">
        <v>4</v>
      </c>
      <c r="L137">
        <v>2</v>
      </c>
      <c r="M137">
        <v>4</v>
      </c>
      <c r="N137">
        <v>4</v>
      </c>
      <c r="O137">
        <v>4</v>
      </c>
      <c r="P137">
        <v>4</v>
      </c>
      <c r="Q137">
        <v>5</v>
      </c>
      <c r="R137">
        <v>4</v>
      </c>
      <c r="S137">
        <v>2</v>
      </c>
      <c r="T137">
        <v>5</v>
      </c>
      <c r="U137">
        <v>4</v>
      </c>
      <c r="V137">
        <v>2</v>
      </c>
      <c r="W137">
        <v>3</v>
      </c>
      <c r="X137">
        <v>3</v>
      </c>
      <c r="Y137">
        <v>5</v>
      </c>
      <c r="Z137">
        <v>4</v>
      </c>
      <c r="AA137">
        <v>3</v>
      </c>
      <c r="AB137">
        <v>2</v>
      </c>
      <c r="AC137">
        <v>2</v>
      </c>
      <c r="AD137">
        <v>3</v>
      </c>
      <c r="AE137">
        <v>3</v>
      </c>
      <c r="AF137">
        <v>3</v>
      </c>
      <c r="AG137">
        <v>4</v>
      </c>
      <c r="AH137">
        <v>3</v>
      </c>
      <c r="AI137">
        <v>3</v>
      </c>
      <c r="AJ137">
        <v>3</v>
      </c>
      <c r="AK137">
        <v>5</v>
      </c>
      <c r="AL137">
        <v>4</v>
      </c>
      <c r="AM137">
        <v>4</v>
      </c>
      <c r="AN137">
        <v>4</v>
      </c>
      <c r="AO137">
        <v>2</v>
      </c>
      <c r="AP137">
        <v>4</v>
      </c>
      <c r="AQ137">
        <v>3</v>
      </c>
      <c r="AR137">
        <v>3</v>
      </c>
      <c r="AS137">
        <v>4</v>
      </c>
      <c r="AT137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7"/>
  <sheetViews>
    <sheetView topLeftCell="S41" zoomScale="88" zoomScaleNormal="88" workbookViewId="0">
      <selection activeCell="AB108" sqref="AB108"/>
    </sheetView>
  </sheetViews>
  <sheetFormatPr defaultRowHeight="14.4" x14ac:dyDescent="0.3"/>
  <cols>
    <col min="1" max="1" width="4.88671875" customWidth="1"/>
    <col min="2" max="2" width="7.5546875" customWidth="1"/>
    <col min="3" max="3" width="8.33203125" customWidth="1"/>
    <col min="4" max="4" width="10.88671875" bestFit="1" customWidth="1"/>
    <col min="5" max="5" width="9.6640625" bestFit="1" customWidth="1"/>
    <col min="6" max="6" width="5.6640625" customWidth="1"/>
    <col min="7" max="12" width="12.33203125" customWidth="1"/>
    <col min="17" max="17" width="14.5546875" customWidth="1"/>
    <col min="18" max="18" width="14.109375" customWidth="1"/>
  </cols>
  <sheetData>
    <row r="1" spans="1:32" s="9" customFormat="1" ht="15.6" x14ac:dyDescent="0.3">
      <c r="A1" s="9" t="s">
        <v>96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134</v>
      </c>
      <c r="G1" s="9" t="s">
        <v>140</v>
      </c>
      <c r="H1" s="9" t="s">
        <v>141</v>
      </c>
      <c r="I1" s="9" t="s">
        <v>136</v>
      </c>
      <c r="J1" s="9" t="s">
        <v>137</v>
      </c>
      <c r="K1" s="9" t="s">
        <v>138</v>
      </c>
      <c r="L1" s="9" t="s">
        <v>139</v>
      </c>
      <c r="N1" s="11" t="s">
        <v>142</v>
      </c>
      <c r="O1" s="11" t="s">
        <v>144</v>
      </c>
      <c r="P1" s="15" t="s">
        <v>143</v>
      </c>
      <c r="Q1" s="15" t="s">
        <v>143</v>
      </c>
      <c r="R1" s="13" t="s">
        <v>145</v>
      </c>
      <c r="S1" s="13" t="s">
        <v>149</v>
      </c>
      <c r="T1" s="17" t="s">
        <v>146</v>
      </c>
      <c r="U1" s="17" t="s">
        <v>150</v>
      </c>
      <c r="V1" s="11" t="s">
        <v>147</v>
      </c>
      <c r="W1" s="11" t="s">
        <v>152</v>
      </c>
      <c r="X1" s="13" t="s">
        <v>148</v>
      </c>
      <c r="Y1" s="13" t="s">
        <v>151</v>
      </c>
      <c r="Z1" s="63" t="s">
        <v>160</v>
      </c>
      <c r="AA1" s="10" t="s">
        <v>153</v>
      </c>
      <c r="AB1" s="10" t="s">
        <v>154</v>
      </c>
      <c r="AC1" s="10" t="s">
        <v>155</v>
      </c>
      <c r="AD1" s="10" t="s">
        <v>156</v>
      </c>
      <c r="AE1" s="10" t="s">
        <v>157</v>
      </c>
      <c r="AF1" s="10" t="s">
        <v>158</v>
      </c>
    </row>
    <row r="2" spans="1:32" x14ac:dyDescent="0.3">
      <c r="A2">
        <v>3</v>
      </c>
      <c r="B2">
        <v>2</v>
      </c>
      <c r="C2">
        <v>2</v>
      </c>
      <c r="D2">
        <v>2</v>
      </c>
      <c r="E2">
        <v>2</v>
      </c>
      <c r="F2">
        <v>3</v>
      </c>
      <c r="G2">
        <v>3</v>
      </c>
      <c r="H2">
        <v>5</v>
      </c>
      <c r="I2">
        <v>4</v>
      </c>
      <c r="J2">
        <v>3</v>
      </c>
      <c r="K2">
        <v>4</v>
      </c>
      <c r="L2">
        <v>2</v>
      </c>
      <c r="N2" s="12">
        <v>1</v>
      </c>
      <c r="O2" s="12">
        <f t="array" ref="O2:O7">FREQUENCY(Age,N2:N7)</f>
        <v>0</v>
      </c>
      <c r="P2" s="16">
        <v>1</v>
      </c>
      <c r="Q2" s="16">
        <f t="array" ref="Q2:Q3">FREQUENCY(Gend,P2:P3)</f>
        <v>4</v>
      </c>
      <c r="R2" s="14">
        <v>1</v>
      </c>
      <c r="S2" s="14">
        <f t="array" ref="S2:S4">FREQUENCY(Pos,R2:R4)</f>
        <v>36</v>
      </c>
      <c r="T2" s="18">
        <v>1</v>
      </c>
      <c r="U2" s="18">
        <f t="array" ref="U2:U6">FREQUENCY(Exper,T2:T6)</f>
        <v>19</v>
      </c>
      <c r="V2" s="12">
        <v>1</v>
      </c>
      <c r="W2" s="12">
        <f t="array" ref="W2:W5">FREQUENCY(Educ,V2:V5)</f>
        <v>29</v>
      </c>
      <c r="X2" s="14">
        <v>1</v>
      </c>
      <c r="Y2" s="14">
        <f t="array" ref="Y2:Y4">FREQUENCY(Job_Lvl,X2:X4)</f>
        <v>10</v>
      </c>
      <c r="Z2" s="63" t="s">
        <v>159</v>
      </c>
      <c r="AA2" s="63" t="s">
        <v>144</v>
      </c>
      <c r="AB2" s="63" t="s">
        <v>144</v>
      </c>
      <c r="AC2" s="63" t="s">
        <v>144</v>
      </c>
      <c r="AD2" s="63" t="s">
        <v>144</v>
      </c>
      <c r="AE2" s="63" t="s">
        <v>144</v>
      </c>
      <c r="AF2" s="63" t="s">
        <v>144</v>
      </c>
    </row>
    <row r="3" spans="1:32" x14ac:dyDescent="0.3">
      <c r="A3">
        <v>5</v>
      </c>
      <c r="B3">
        <v>2</v>
      </c>
      <c r="C3">
        <v>3</v>
      </c>
      <c r="D3">
        <v>5</v>
      </c>
      <c r="E3">
        <v>4</v>
      </c>
      <c r="F3">
        <v>2</v>
      </c>
      <c r="G3">
        <v>3</v>
      </c>
      <c r="H3">
        <v>5</v>
      </c>
      <c r="I3">
        <v>4</v>
      </c>
      <c r="J3">
        <v>3</v>
      </c>
      <c r="K3">
        <v>4</v>
      </c>
      <c r="L3">
        <v>3</v>
      </c>
      <c r="N3" s="12">
        <v>2</v>
      </c>
      <c r="O3" s="12">
        <v>24</v>
      </c>
      <c r="P3" s="16">
        <v>2</v>
      </c>
      <c r="Q3" s="16">
        <v>132</v>
      </c>
      <c r="R3" s="14">
        <v>2</v>
      </c>
      <c r="S3" s="14">
        <v>79</v>
      </c>
      <c r="T3" s="18">
        <v>2</v>
      </c>
      <c r="U3" s="18">
        <v>46</v>
      </c>
      <c r="V3" s="12">
        <v>2</v>
      </c>
      <c r="W3" s="12">
        <v>70</v>
      </c>
      <c r="X3" s="14">
        <v>2</v>
      </c>
      <c r="Y3" s="14">
        <v>101</v>
      </c>
      <c r="Z3" s="12">
        <v>1</v>
      </c>
      <c r="AA3" s="12">
        <f t="array" ref="AA3:AA8">FREQUENCY(Satis_1,Z3:Z8)</f>
        <v>3</v>
      </c>
      <c r="AB3" s="12">
        <f t="array" ref="AB3:AB8">FREQUENCY(Satis_2,Z3:Z8)</f>
        <v>1</v>
      </c>
      <c r="AC3" s="12">
        <f t="array" ref="AC3:AC8">FREQUENCY(Satis_3,Z3:Z8)</f>
        <v>1</v>
      </c>
      <c r="AD3" s="12">
        <f t="array" ref="AD3:AD8">FREQUENCY(Satis_4,Z3:Z8)</f>
        <v>4</v>
      </c>
      <c r="AE3" s="12">
        <f t="array" ref="AE3:AE8">FREQUENCY(Satis_5,Z3:Z8)</f>
        <v>0</v>
      </c>
      <c r="AF3" s="12">
        <f t="array" ref="AF3:AF8">FREQUENCY(Satis_6,Z3:Z8)</f>
        <v>5</v>
      </c>
    </row>
    <row r="4" spans="1:32" x14ac:dyDescent="0.3">
      <c r="A4">
        <v>3</v>
      </c>
      <c r="B4">
        <v>2</v>
      </c>
      <c r="C4">
        <v>2</v>
      </c>
      <c r="D4">
        <v>3</v>
      </c>
      <c r="E4">
        <v>2</v>
      </c>
      <c r="F4">
        <v>2</v>
      </c>
      <c r="G4">
        <v>2</v>
      </c>
      <c r="H4">
        <v>3</v>
      </c>
      <c r="I4">
        <v>4</v>
      </c>
      <c r="J4">
        <v>3</v>
      </c>
      <c r="K4">
        <v>4</v>
      </c>
      <c r="L4">
        <v>2</v>
      </c>
      <c r="N4" s="12">
        <v>3</v>
      </c>
      <c r="O4" s="12">
        <v>45</v>
      </c>
      <c r="P4" s="16"/>
      <c r="Q4" s="16"/>
      <c r="R4" s="14">
        <v>3</v>
      </c>
      <c r="S4" s="14">
        <v>21</v>
      </c>
      <c r="T4" s="18">
        <v>3</v>
      </c>
      <c r="U4" s="18">
        <v>17</v>
      </c>
      <c r="V4" s="12">
        <v>3</v>
      </c>
      <c r="W4" s="12">
        <v>13</v>
      </c>
      <c r="X4" s="14">
        <v>3</v>
      </c>
      <c r="Y4" s="14">
        <v>25</v>
      </c>
      <c r="Z4" s="12">
        <v>2</v>
      </c>
      <c r="AA4" s="12">
        <v>15</v>
      </c>
      <c r="AB4" s="12">
        <v>8</v>
      </c>
      <c r="AC4" s="12">
        <v>8</v>
      </c>
      <c r="AD4" s="12">
        <v>28</v>
      </c>
      <c r="AE4" s="12">
        <v>17</v>
      </c>
      <c r="AF4" s="12">
        <v>29</v>
      </c>
    </row>
    <row r="5" spans="1:32" x14ac:dyDescent="0.3">
      <c r="A5">
        <v>5</v>
      </c>
      <c r="B5">
        <v>2</v>
      </c>
      <c r="C5">
        <v>3</v>
      </c>
      <c r="D5">
        <v>5</v>
      </c>
      <c r="E5">
        <v>4</v>
      </c>
      <c r="F5">
        <v>2</v>
      </c>
      <c r="G5">
        <v>3</v>
      </c>
      <c r="H5">
        <v>3</v>
      </c>
      <c r="I5">
        <v>5</v>
      </c>
      <c r="J5">
        <v>3</v>
      </c>
      <c r="K5">
        <v>3</v>
      </c>
      <c r="L5">
        <v>3</v>
      </c>
      <c r="N5" s="12">
        <v>4</v>
      </c>
      <c r="O5" s="12">
        <v>22</v>
      </c>
      <c r="P5" s="16"/>
      <c r="Q5" s="16"/>
      <c r="R5" s="14"/>
      <c r="S5" s="14"/>
      <c r="T5" s="18">
        <v>4</v>
      </c>
      <c r="U5" s="18">
        <v>17</v>
      </c>
      <c r="V5" s="12">
        <v>4</v>
      </c>
      <c r="W5" s="12">
        <v>23</v>
      </c>
      <c r="X5" s="14"/>
      <c r="Y5" s="14"/>
      <c r="Z5" s="12">
        <v>3</v>
      </c>
      <c r="AA5" s="12">
        <v>44</v>
      </c>
      <c r="AB5" s="12">
        <v>13</v>
      </c>
      <c r="AC5" s="12">
        <v>13</v>
      </c>
      <c r="AD5" s="12">
        <v>55</v>
      </c>
      <c r="AE5" s="12">
        <v>28</v>
      </c>
      <c r="AF5" s="12">
        <v>43</v>
      </c>
    </row>
    <row r="6" spans="1:32" x14ac:dyDescent="0.3">
      <c r="A6">
        <v>5</v>
      </c>
      <c r="B6">
        <v>2</v>
      </c>
      <c r="C6">
        <v>3</v>
      </c>
      <c r="D6">
        <v>5</v>
      </c>
      <c r="E6">
        <v>4</v>
      </c>
      <c r="F6">
        <v>1</v>
      </c>
      <c r="G6">
        <v>3</v>
      </c>
      <c r="H6">
        <v>4</v>
      </c>
      <c r="I6">
        <v>3</v>
      </c>
      <c r="J6">
        <v>3</v>
      </c>
      <c r="K6">
        <v>3</v>
      </c>
      <c r="L6">
        <v>3</v>
      </c>
      <c r="N6" s="12">
        <v>5</v>
      </c>
      <c r="O6" s="12">
        <v>35</v>
      </c>
      <c r="P6" s="16"/>
      <c r="Q6" s="16"/>
      <c r="R6" s="14"/>
      <c r="S6" s="14"/>
      <c r="T6" s="18">
        <v>5</v>
      </c>
      <c r="U6" s="18">
        <v>37</v>
      </c>
      <c r="V6" s="12"/>
      <c r="W6" s="12"/>
      <c r="X6" s="14"/>
      <c r="Y6" s="14"/>
      <c r="Z6" s="12">
        <v>4</v>
      </c>
      <c r="AA6" s="12">
        <v>49</v>
      </c>
      <c r="AB6" s="12">
        <v>58</v>
      </c>
      <c r="AC6" s="12">
        <v>58</v>
      </c>
      <c r="AD6" s="12">
        <v>37</v>
      </c>
      <c r="AE6" s="12">
        <v>63</v>
      </c>
      <c r="AF6" s="12">
        <v>40</v>
      </c>
    </row>
    <row r="7" spans="1:32" x14ac:dyDescent="0.3">
      <c r="A7">
        <v>3</v>
      </c>
      <c r="B7">
        <v>2</v>
      </c>
      <c r="C7">
        <v>2</v>
      </c>
      <c r="D7">
        <v>2</v>
      </c>
      <c r="E7">
        <v>2</v>
      </c>
      <c r="F7">
        <v>2</v>
      </c>
      <c r="G7">
        <v>3</v>
      </c>
      <c r="H7">
        <v>4</v>
      </c>
      <c r="I7">
        <v>5</v>
      </c>
      <c r="J7">
        <v>5</v>
      </c>
      <c r="K7">
        <v>2</v>
      </c>
      <c r="L7">
        <v>3</v>
      </c>
      <c r="N7" s="12">
        <v>6</v>
      </c>
      <c r="O7" s="12">
        <v>10</v>
      </c>
      <c r="Z7" s="12">
        <v>5</v>
      </c>
      <c r="AA7" s="12">
        <v>25</v>
      </c>
      <c r="AB7" s="12">
        <v>56</v>
      </c>
      <c r="AC7" s="12">
        <v>56</v>
      </c>
      <c r="AD7" s="12">
        <v>12</v>
      </c>
      <c r="AE7" s="12">
        <v>28</v>
      </c>
      <c r="AF7" s="12">
        <v>19</v>
      </c>
    </row>
    <row r="8" spans="1:32" x14ac:dyDescent="0.3">
      <c r="A8">
        <v>5</v>
      </c>
      <c r="B8">
        <v>2</v>
      </c>
      <c r="C8">
        <v>2</v>
      </c>
      <c r="D8">
        <v>5</v>
      </c>
      <c r="E8">
        <v>2</v>
      </c>
      <c r="F8">
        <v>2</v>
      </c>
      <c r="G8">
        <v>4</v>
      </c>
      <c r="H8">
        <v>4</v>
      </c>
      <c r="I8">
        <v>5</v>
      </c>
      <c r="J8">
        <v>4</v>
      </c>
      <c r="K8">
        <v>4</v>
      </c>
      <c r="L8">
        <v>5</v>
      </c>
      <c r="O8" s="22"/>
      <c r="Z8" s="12">
        <v>6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</row>
    <row r="9" spans="1:32" x14ac:dyDescent="0.3">
      <c r="A9">
        <v>6</v>
      </c>
      <c r="B9">
        <v>2</v>
      </c>
      <c r="C9">
        <v>2</v>
      </c>
      <c r="D9">
        <v>5</v>
      </c>
      <c r="E9">
        <v>3</v>
      </c>
      <c r="F9">
        <v>2</v>
      </c>
      <c r="G9">
        <v>4</v>
      </c>
      <c r="H9">
        <v>4</v>
      </c>
      <c r="I9">
        <v>5</v>
      </c>
      <c r="J9">
        <v>3</v>
      </c>
      <c r="K9">
        <v>4</v>
      </c>
      <c r="L9">
        <v>3</v>
      </c>
      <c r="V9" s="9"/>
      <c r="X9" s="9"/>
    </row>
    <row r="10" spans="1:32" x14ac:dyDescent="0.3">
      <c r="A10">
        <v>6</v>
      </c>
      <c r="B10">
        <v>2</v>
      </c>
      <c r="C10">
        <v>1</v>
      </c>
      <c r="D10">
        <v>5</v>
      </c>
      <c r="E10">
        <v>2</v>
      </c>
      <c r="F10">
        <v>1</v>
      </c>
      <c r="G10">
        <v>4</v>
      </c>
      <c r="H10">
        <v>3</v>
      </c>
      <c r="I10">
        <v>4</v>
      </c>
      <c r="J10">
        <v>2</v>
      </c>
      <c r="K10">
        <v>4</v>
      </c>
      <c r="L10">
        <v>3</v>
      </c>
    </row>
    <row r="11" spans="1:32" x14ac:dyDescent="0.3">
      <c r="A11">
        <v>5</v>
      </c>
      <c r="B11">
        <v>2</v>
      </c>
      <c r="C11">
        <v>2</v>
      </c>
      <c r="D11">
        <v>5</v>
      </c>
      <c r="E11">
        <v>4</v>
      </c>
      <c r="F11">
        <v>2</v>
      </c>
      <c r="G11">
        <v>3</v>
      </c>
      <c r="H11">
        <v>4</v>
      </c>
      <c r="I11">
        <v>4</v>
      </c>
      <c r="J11">
        <v>3</v>
      </c>
      <c r="K11">
        <v>4</v>
      </c>
      <c r="L11">
        <v>4</v>
      </c>
    </row>
    <row r="12" spans="1:32" x14ac:dyDescent="0.3">
      <c r="A12">
        <v>3</v>
      </c>
      <c r="B12">
        <v>2</v>
      </c>
      <c r="C12">
        <v>2</v>
      </c>
      <c r="D12">
        <v>3</v>
      </c>
      <c r="E12">
        <v>2</v>
      </c>
      <c r="F12">
        <v>2</v>
      </c>
      <c r="G12">
        <v>4</v>
      </c>
      <c r="H12">
        <v>5</v>
      </c>
      <c r="I12">
        <v>4</v>
      </c>
      <c r="J12">
        <v>4</v>
      </c>
      <c r="K12">
        <v>4</v>
      </c>
      <c r="L12">
        <v>5</v>
      </c>
    </row>
    <row r="13" spans="1:32" x14ac:dyDescent="0.3">
      <c r="A13">
        <v>4</v>
      </c>
      <c r="B13">
        <v>2</v>
      </c>
      <c r="C13">
        <v>1</v>
      </c>
      <c r="D13">
        <v>2</v>
      </c>
      <c r="E13">
        <v>1</v>
      </c>
      <c r="F13">
        <v>3</v>
      </c>
      <c r="G13">
        <v>5</v>
      </c>
      <c r="H13">
        <v>5</v>
      </c>
      <c r="I13">
        <v>5</v>
      </c>
      <c r="J13">
        <v>3</v>
      </c>
      <c r="K13">
        <v>5</v>
      </c>
      <c r="L13">
        <v>2</v>
      </c>
    </row>
    <row r="14" spans="1:32" x14ac:dyDescent="0.3">
      <c r="A14">
        <v>4</v>
      </c>
      <c r="B14">
        <v>2</v>
      </c>
      <c r="C14">
        <v>2</v>
      </c>
      <c r="D14">
        <v>2</v>
      </c>
      <c r="E14">
        <v>3</v>
      </c>
      <c r="F14">
        <v>2</v>
      </c>
      <c r="G14">
        <v>5</v>
      </c>
      <c r="H14">
        <v>5</v>
      </c>
      <c r="I14">
        <v>4</v>
      </c>
      <c r="J14">
        <v>4</v>
      </c>
      <c r="K14">
        <v>3</v>
      </c>
      <c r="L14">
        <v>3</v>
      </c>
    </row>
    <row r="15" spans="1:32" x14ac:dyDescent="0.3">
      <c r="A15">
        <v>4</v>
      </c>
      <c r="B15">
        <v>2</v>
      </c>
      <c r="C15">
        <v>1</v>
      </c>
      <c r="D15">
        <v>1</v>
      </c>
      <c r="E15">
        <v>1</v>
      </c>
      <c r="F15">
        <v>2</v>
      </c>
      <c r="G15">
        <v>3</v>
      </c>
      <c r="H15">
        <v>2</v>
      </c>
      <c r="I15">
        <v>4</v>
      </c>
      <c r="J15">
        <v>2</v>
      </c>
      <c r="K15">
        <v>3</v>
      </c>
      <c r="L15">
        <v>2</v>
      </c>
    </row>
    <row r="16" spans="1:32" x14ac:dyDescent="0.3">
      <c r="A16">
        <v>5</v>
      </c>
      <c r="B16">
        <v>2</v>
      </c>
      <c r="C16">
        <v>1</v>
      </c>
      <c r="D16">
        <v>5</v>
      </c>
      <c r="E16">
        <v>1</v>
      </c>
      <c r="F16">
        <v>2</v>
      </c>
      <c r="G16">
        <v>3</v>
      </c>
      <c r="H16">
        <v>5</v>
      </c>
      <c r="I16">
        <v>4</v>
      </c>
      <c r="J16">
        <v>3</v>
      </c>
      <c r="K16">
        <v>4</v>
      </c>
      <c r="L16">
        <v>2</v>
      </c>
    </row>
    <row r="17" spans="1:21" x14ac:dyDescent="0.3">
      <c r="A17">
        <v>3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  <c r="I17">
        <v>4</v>
      </c>
      <c r="J17">
        <v>2</v>
      </c>
      <c r="K17">
        <v>2</v>
      </c>
      <c r="L17">
        <v>2</v>
      </c>
    </row>
    <row r="18" spans="1:21" x14ac:dyDescent="0.3">
      <c r="A18">
        <v>5</v>
      </c>
      <c r="B18">
        <v>2</v>
      </c>
      <c r="C18">
        <v>2</v>
      </c>
      <c r="D18">
        <v>4</v>
      </c>
      <c r="E18">
        <v>2</v>
      </c>
      <c r="F18">
        <v>1</v>
      </c>
      <c r="G18">
        <v>5</v>
      </c>
      <c r="H18">
        <v>3</v>
      </c>
      <c r="I18">
        <v>4</v>
      </c>
      <c r="J18">
        <v>3</v>
      </c>
      <c r="K18">
        <v>2</v>
      </c>
      <c r="L18">
        <v>1</v>
      </c>
    </row>
    <row r="19" spans="1:21" x14ac:dyDescent="0.3">
      <c r="A19">
        <v>4</v>
      </c>
      <c r="B19">
        <v>2</v>
      </c>
      <c r="C19">
        <v>3</v>
      </c>
      <c r="D19">
        <v>3</v>
      </c>
      <c r="E19">
        <v>4</v>
      </c>
      <c r="F19">
        <v>2</v>
      </c>
      <c r="G19">
        <v>3</v>
      </c>
      <c r="H19">
        <v>4</v>
      </c>
      <c r="I19">
        <v>5</v>
      </c>
      <c r="J19">
        <v>4</v>
      </c>
      <c r="K19">
        <v>5</v>
      </c>
      <c r="L19">
        <v>4</v>
      </c>
    </row>
    <row r="20" spans="1:21" x14ac:dyDescent="0.3">
      <c r="A20">
        <v>5</v>
      </c>
      <c r="B20">
        <v>2</v>
      </c>
      <c r="C20">
        <v>3</v>
      </c>
      <c r="D20">
        <v>5</v>
      </c>
      <c r="E20">
        <v>4</v>
      </c>
      <c r="F20">
        <v>2</v>
      </c>
      <c r="G20">
        <v>4</v>
      </c>
      <c r="H20">
        <v>5</v>
      </c>
      <c r="I20">
        <v>4</v>
      </c>
      <c r="J20">
        <v>2</v>
      </c>
      <c r="K20">
        <v>4</v>
      </c>
      <c r="L20">
        <v>2</v>
      </c>
    </row>
    <row r="21" spans="1:21" ht="15" thickBot="1" x14ac:dyDescent="0.35">
      <c r="A21">
        <v>5</v>
      </c>
      <c r="B21">
        <v>2</v>
      </c>
      <c r="C21">
        <v>1</v>
      </c>
      <c r="D21">
        <v>5</v>
      </c>
      <c r="E21">
        <v>1</v>
      </c>
      <c r="F21">
        <v>2</v>
      </c>
      <c r="G21">
        <v>4</v>
      </c>
      <c r="H21">
        <v>4</v>
      </c>
      <c r="I21">
        <v>5</v>
      </c>
      <c r="J21">
        <v>4</v>
      </c>
      <c r="K21">
        <v>5</v>
      </c>
      <c r="L21">
        <v>3</v>
      </c>
    </row>
    <row r="22" spans="1:21" x14ac:dyDescent="0.3">
      <c r="A22">
        <v>3</v>
      </c>
      <c r="B22">
        <v>2</v>
      </c>
      <c r="C22">
        <v>2</v>
      </c>
      <c r="D22">
        <v>3</v>
      </c>
      <c r="E22">
        <v>3</v>
      </c>
      <c r="F22">
        <v>2</v>
      </c>
      <c r="G22">
        <v>1</v>
      </c>
      <c r="H22">
        <v>4</v>
      </c>
      <c r="I22">
        <v>4</v>
      </c>
      <c r="J22">
        <v>2</v>
      </c>
      <c r="K22">
        <v>4</v>
      </c>
      <c r="L22">
        <v>2</v>
      </c>
      <c r="Q22" s="70" t="s">
        <v>5</v>
      </c>
      <c r="R22" s="70"/>
      <c r="T22" s="34" t="s">
        <v>298</v>
      </c>
      <c r="U22" s="34" t="s">
        <v>296</v>
      </c>
    </row>
    <row r="23" spans="1:21" x14ac:dyDescent="0.3">
      <c r="A23">
        <v>4</v>
      </c>
      <c r="B23">
        <v>2</v>
      </c>
      <c r="C23">
        <v>2</v>
      </c>
      <c r="D23">
        <v>4</v>
      </c>
      <c r="E23">
        <v>2</v>
      </c>
      <c r="F23">
        <v>2</v>
      </c>
      <c r="G23">
        <v>4</v>
      </c>
      <c r="H23">
        <v>5</v>
      </c>
      <c r="I23">
        <v>5</v>
      </c>
      <c r="J23">
        <v>4</v>
      </c>
      <c r="K23">
        <v>4</v>
      </c>
      <c r="L23">
        <v>4</v>
      </c>
      <c r="Q23" s="24"/>
      <c r="R23" s="24"/>
      <c r="T23" s="68">
        <v>2</v>
      </c>
      <c r="U23" s="24">
        <v>115</v>
      </c>
    </row>
    <row r="24" spans="1:21" x14ac:dyDescent="0.3">
      <c r="A24">
        <v>4</v>
      </c>
      <c r="B24">
        <v>2</v>
      </c>
      <c r="C24">
        <v>2</v>
      </c>
      <c r="D24">
        <v>4</v>
      </c>
      <c r="E24">
        <v>2</v>
      </c>
      <c r="F24">
        <v>3</v>
      </c>
      <c r="G24">
        <v>2</v>
      </c>
      <c r="H24">
        <v>4</v>
      </c>
      <c r="I24">
        <v>5</v>
      </c>
      <c r="J24">
        <v>5</v>
      </c>
      <c r="K24">
        <v>4</v>
      </c>
      <c r="L24">
        <v>5</v>
      </c>
      <c r="Q24" s="24" t="s">
        <v>163</v>
      </c>
      <c r="R24" s="24">
        <v>1.8897058823529411</v>
      </c>
      <c r="T24" s="68">
        <v>3</v>
      </c>
      <c r="U24" s="24">
        <v>21</v>
      </c>
    </row>
    <row r="25" spans="1:21" ht="15" thickBot="1" x14ac:dyDescent="0.35">
      <c r="A25">
        <v>2</v>
      </c>
      <c r="B25">
        <v>2</v>
      </c>
      <c r="C25">
        <v>2</v>
      </c>
      <c r="D25">
        <v>1</v>
      </c>
      <c r="E25">
        <v>2</v>
      </c>
      <c r="F25">
        <v>3</v>
      </c>
      <c r="G25">
        <v>4</v>
      </c>
      <c r="H25">
        <v>5</v>
      </c>
      <c r="I25">
        <v>5</v>
      </c>
      <c r="J25">
        <v>3</v>
      </c>
      <c r="K25">
        <v>4</v>
      </c>
      <c r="L25">
        <v>3</v>
      </c>
      <c r="Q25" s="24" t="s">
        <v>164</v>
      </c>
      <c r="R25" s="24">
        <v>5.4904149116051633E-2</v>
      </c>
      <c r="T25" s="69" t="s">
        <v>295</v>
      </c>
      <c r="U25" s="69">
        <v>0</v>
      </c>
    </row>
    <row r="26" spans="1:21" x14ac:dyDescent="0.3">
      <c r="A26">
        <v>3</v>
      </c>
      <c r="B26">
        <v>2</v>
      </c>
      <c r="C26">
        <v>2</v>
      </c>
      <c r="D26">
        <v>2</v>
      </c>
      <c r="E26">
        <v>2</v>
      </c>
      <c r="F26">
        <v>3</v>
      </c>
      <c r="G26">
        <v>3</v>
      </c>
      <c r="H26">
        <v>4</v>
      </c>
      <c r="I26">
        <v>4</v>
      </c>
      <c r="J26">
        <v>3</v>
      </c>
      <c r="K26">
        <v>3</v>
      </c>
      <c r="L26">
        <v>4</v>
      </c>
      <c r="Q26" s="24" t="s">
        <v>165</v>
      </c>
      <c r="R26" s="24">
        <v>2</v>
      </c>
    </row>
    <row r="27" spans="1:21" x14ac:dyDescent="0.3">
      <c r="A27">
        <v>3</v>
      </c>
      <c r="B27">
        <v>2</v>
      </c>
      <c r="C27">
        <v>2</v>
      </c>
      <c r="D27">
        <v>2</v>
      </c>
      <c r="E27">
        <v>2</v>
      </c>
      <c r="F27">
        <v>2</v>
      </c>
      <c r="G27">
        <v>3</v>
      </c>
      <c r="H27">
        <v>4</v>
      </c>
      <c r="I27">
        <v>4</v>
      </c>
      <c r="J27">
        <v>2</v>
      </c>
      <c r="K27">
        <v>4</v>
      </c>
      <c r="L27">
        <v>4</v>
      </c>
      <c r="N27" s="13" t="s">
        <v>145</v>
      </c>
      <c r="O27" s="13" t="s">
        <v>149</v>
      </c>
      <c r="Q27" s="24" t="s">
        <v>166</v>
      </c>
      <c r="R27" s="24">
        <v>2</v>
      </c>
    </row>
    <row r="28" spans="1:21" x14ac:dyDescent="0.3">
      <c r="A28">
        <v>3</v>
      </c>
      <c r="B28">
        <v>2</v>
      </c>
      <c r="C28">
        <v>2</v>
      </c>
      <c r="D28">
        <v>2</v>
      </c>
      <c r="E28">
        <v>4</v>
      </c>
      <c r="F28">
        <v>3</v>
      </c>
      <c r="G28">
        <v>5</v>
      </c>
      <c r="H28">
        <v>5</v>
      </c>
      <c r="I28">
        <v>5</v>
      </c>
      <c r="J28">
        <v>3</v>
      </c>
      <c r="K28">
        <v>5</v>
      </c>
      <c r="L28">
        <v>5</v>
      </c>
      <c r="N28" s="14">
        <v>1</v>
      </c>
      <c r="O28" s="14">
        <f t="array" ref="O28:O30">FREQUENCY(Pos,N28:N30)</f>
        <v>36</v>
      </c>
      <c r="Q28" s="24" t="s">
        <v>167</v>
      </c>
      <c r="R28" s="24">
        <v>0.6402869046462204</v>
      </c>
    </row>
    <row r="29" spans="1:21" x14ac:dyDescent="0.3">
      <c r="A29">
        <v>3</v>
      </c>
      <c r="B29">
        <v>2</v>
      </c>
      <c r="C29">
        <v>1</v>
      </c>
      <c r="D29">
        <v>2</v>
      </c>
      <c r="E29">
        <v>1</v>
      </c>
      <c r="F29">
        <v>2</v>
      </c>
      <c r="G29">
        <v>1</v>
      </c>
      <c r="H29">
        <v>5</v>
      </c>
      <c r="I29">
        <v>4</v>
      </c>
      <c r="J29">
        <v>3</v>
      </c>
      <c r="K29">
        <v>5</v>
      </c>
      <c r="L29">
        <v>3</v>
      </c>
      <c r="N29" s="14">
        <v>2</v>
      </c>
      <c r="O29" s="14">
        <v>79</v>
      </c>
      <c r="Q29" s="24" t="s">
        <v>168</v>
      </c>
      <c r="R29" s="24">
        <v>0.40996732026143812</v>
      </c>
    </row>
    <row r="30" spans="1:21" x14ac:dyDescent="0.3">
      <c r="A30">
        <v>3</v>
      </c>
      <c r="B30">
        <v>2</v>
      </c>
      <c r="C30">
        <v>2</v>
      </c>
      <c r="D30">
        <v>2</v>
      </c>
      <c r="E30">
        <v>2</v>
      </c>
      <c r="F30">
        <v>2</v>
      </c>
      <c r="G30">
        <v>5</v>
      </c>
      <c r="H30">
        <v>2</v>
      </c>
      <c r="I30">
        <v>5</v>
      </c>
      <c r="J30">
        <v>5</v>
      </c>
      <c r="K30">
        <v>5</v>
      </c>
      <c r="L30">
        <v>5</v>
      </c>
      <c r="N30" s="14">
        <v>3</v>
      </c>
      <c r="O30" s="14">
        <v>21</v>
      </c>
      <c r="Q30" s="24" t="s">
        <v>169</v>
      </c>
      <c r="R30" s="24">
        <v>-0.55753243370849503</v>
      </c>
    </row>
    <row r="31" spans="1:21" x14ac:dyDescent="0.3">
      <c r="A31">
        <v>5</v>
      </c>
      <c r="B31">
        <v>2</v>
      </c>
      <c r="C31">
        <v>2</v>
      </c>
      <c r="D31">
        <v>5</v>
      </c>
      <c r="E31">
        <v>2</v>
      </c>
      <c r="F31">
        <v>2</v>
      </c>
      <c r="G31">
        <v>2</v>
      </c>
      <c r="H31">
        <v>2</v>
      </c>
      <c r="I31">
        <v>4</v>
      </c>
      <c r="J31">
        <v>1</v>
      </c>
      <c r="K31">
        <v>2</v>
      </c>
      <c r="L31">
        <v>2</v>
      </c>
      <c r="Q31" s="24" t="s">
        <v>170</v>
      </c>
      <c r="R31" s="24">
        <v>0.10010763356124518</v>
      </c>
    </row>
    <row r="32" spans="1:21" x14ac:dyDescent="0.3">
      <c r="A32">
        <v>6</v>
      </c>
      <c r="B32">
        <v>2</v>
      </c>
      <c r="C32">
        <v>1</v>
      </c>
      <c r="D32">
        <v>5</v>
      </c>
      <c r="E32">
        <v>1</v>
      </c>
      <c r="F32">
        <v>1</v>
      </c>
      <c r="G32">
        <v>5</v>
      </c>
      <c r="H32">
        <v>4</v>
      </c>
      <c r="I32">
        <v>5</v>
      </c>
      <c r="J32">
        <v>5</v>
      </c>
      <c r="K32">
        <v>5</v>
      </c>
      <c r="L32">
        <v>4</v>
      </c>
      <c r="Q32" s="24" t="s">
        <v>171</v>
      </c>
      <c r="R32" s="24">
        <v>2</v>
      </c>
    </row>
    <row r="33" spans="1:22" x14ac:dyDescent="0.3">
      <c r="A33">
        <v>3</v>
      </c>
      <c r="B33">
        <v>2</v>
      </c>
      <c r="C33">
        <v>2</v>
      </c>
      <c r="D33">
        <v>2</v>
      </c>
      <c r="E33">
        <v>2</v>
      </c>
      <c r="F33">
        <v>2</v>
      </c>
      <c r="G33">
        <v>3</v>
      </c>
      <c r="H33">
        <v>5</v>
      </c>
      <c r="I33">
        <v>4</v>
      </c>
      <c r="J33">
        <v>3</v>
      </c>
      <c r="K33">
        <v>4</v>
      </c>
      <c r="L33">
        <v>3</v>
      </c>
      <c r="Q33" s="24" t="s">
        <v>172</v>
      </c>
      <c r="R33" s="24">
        <v>1</v>
      </c>
    </row>
    <row r="34" spans="1:22" x14ac:dyDescent="0.3">
      <c r="A34">
        <v>3</v>
      </c>
      <c r="B34">
        <v>2</v>
      </c>
      <c r="C34">
        <v>2</v>
      </c>
      <c r="D34">
        <v>1</v>
      </c>
      <c r="E34">
        <v>2</v>
      </c>
      <c r="F34">
        <v>2</v>
      </c>
      <c r="G34">
        <v>5</v>
      </c>
      <c r="H34">
        <v>4</v>
      </c>
      <c r="I34">
        <v>4</v>
      </c>
      <c r="J34">
        <v>3</v>
      </c>
      <c r="K34">
        <v>5</v>
      </c>
      <c r="L34">
        <v>4</v>
      </c>
      <c r="Q34" s="24" t="s">
        <v>173</v>
      </c>
      <c r="R34" s="24">
        <v>3</v>
      </c>
    </row>
    <row r="35" spans="1:22" x14ac:dyDescent="0.3">
      <c r="A35">
        <v>5</v>
      </c>
      <c r="B35">
        <v>2</v>
      </c>
      <c r="C35">
        <v>3</v>
      </c>
      <c r="D35">
        <v>5</v>
      </c>
      <c r="E35">
        <v>4</v>
      </c>
      <c r="F35">
        <v>1</v>
      </c>
      <c r="G35">
        <v>4</v>
      </c>
      <c r="H35">
        <v>5</v>
      </c>
      <c r="I35">
        <v>5</v>
      </c>
      <c r="J35">
        <v>4</v>
      </c>
      <c r="K35">
        <v>3</v>
      </c>
      <c r="L35">
        <v>4</v>
      </c>
      <c r="Q35" s="24" t="s">
        <v>174</v>
      </c>
      <c r="R35" s="24">
        <v>257</v>
      </c>
    </row>
    <row r="36" spans="1:22" ht="15" thickBot="1" x14ac:dyDescent="0.35">
      <c r="A36">
        <v>5</v>
      </c>
      <c r="B36">
        <v>2</v>
      </c>
      <c r="C36">
        <v>2</v>
      </c>
      <c r="D36">
        <v>5</v>
      </c>
      <c r="E36">
        <v>2</v>
      </c>
      <c r="F36">
        <v>2</v>
      </c>
      <c r="G36">
        <v>4</v>
      </c>
      <c r="H36">
        <v>5</v>
      </c>
      <c r="I36">
        <v>4</v>
      </c>
      <c r="J36">
        <v>3</v>
      </c>
      <c r="K36">
        <v>5</v>
      </c>
      <c r="L36">
        <v>4</v>
      </c>
      <c r="Q36" s="69" t="s">
        <v>175</v>
      </c>
      <c r="R36" s="69">
        <v>136</v>
      </c>
    </row>
    <row r="37" spans="1:22" x14ac:dyDescent="0.3">
      <c r="A37">
        <v>5</v>
      </c>
      <c r="B37">
        <v>2</v>
      </c>
      <c r="C37">
        <v>2</v>
      </c>
      <c r="D37">
        <v>4</v>
      </c>
      <c r="E37">
        <v>4</v>
      </c>
      <c r="F37">
        <v>1</v>
      </c>
      <c r="G37">
        <v>5</v>
      </c>
      <c r="H37">
        <v>4</v>
      </c>
      <c r="I37">
        <v>4</v>
      </c>
      <c r="J37">
        <v>5</v>
      </c>
      <c r="K37">
        <v>4</v>
      </c>
      <c r="L37">
        <v>2</v>
      </c>
    </row>
    <row r="38" spans="1:22" ht="15" thickBot="1" x14ac:dyDescent="0.35">
      <c r="A38">
        <v>3</v>
      </c>
      <c r="B38">
        <v>2</v>
      </c>
      <c r="C38">
        <v>1</v>
      </c>
      <c r="D38">
        <v>2</v>
      </c>
      <c r="E38">
        <v>1</v>
      </c>
      <c r="F38">
        <v>2</v>
      </c>
      <c r="G38">
        <v>5</v>
      </c>
      <c r="H38">
        <v>5</v>
      </c>
      <c r="I38">
        <v>5</v>
      </c>
      <c r="J38">
        <v>3</v>
      </c>
      <c r="K38">
        <v>4</v>
      </c>
      <c r="L38">
        <v>3</v>
      </c>
      <c r="T38" t="s">
        <v>297</v>
      </c>
    </row>
    <row r="39" spans="1:22" x14ac:dyDescent="0.3">
      <c r="A39">
        <v>6</v>
      </c>
      <c r="B39">
        <v>2</v>
      </c>
      <c r="C39">
        <v>1</v>
      </c>
      <c r="D39">
        <v>5</v>
      </c>
      <c r="E39">
        <v>2</v>
      </c>
      <c r="F39">
        <v>2</v>
      </c>
      <c r="G39">
        <v>5</v>
      </c>
      <c r="H39">
        <v>4</v>
      </c>
      <c r="I39">
        <v>4</v>
      </c>
      <c r="J39">
        <v>5</v>
      </c>
      <c r="K39">
        <v>5</v>
      </c>
      <c r="L39">
        <v>5</v>
      </c>
      <c r="N39" s="17" t="s">
        <v>146</v>
      </c>
      <c r="O39" s="17" t="s">
        <v>150</v>
      </c>
      <c r="Q39" s="70" t="s">
        <v>6</v>
      </c>
      <c r="R39" s="70"/>
      <c r="T39">
        <v>1</v>
      </c>
      <c r="U39" s="34" t="s">
        <v>298</v>
      </c>
      <c r="V39" s="34" t="s">
        <v>296</v>
      </c>
    </row>
    <row r="40" spans="1:22" x14ac:dyDescent="0.3">
      <c r="A40">
        <v>5</v>
      </c>
      <c r="B40">
        <v>2</v>
      </c>
      <c r="C40">
        <v>3</v>
      </c>
      <c r="D40">
        <v>5</v>
      </c>
      <c r="E40">
        <v>4</v>
      </c>
      <c r="F40">
        <v>2</v>
      </c>
      <c r="G40">
        <v>5</v>
      </c>
      <c r="H40">
        <v>5</v>
      </c>
      <c r="I40">
        <v>5</v>
      </c>
      <c r="J40">
        <v>3</v>
      </c>
      <c r="K40">
        <v>4</v>
      </c>
      <c r="L40">
        <v>4</v>
      </c>
      <c r="N40" s="18">
        <v>1</v>
      </c>
      <c r="O40" s="18">
        <f t="array" ref="O40:O44">FREQUENCY(Exper,N40:N44)</f>
        <v>19</v>
      </c>
      <c r="Q40" s="24"/>
      <c r="R40" s="24"/>
      <c r="T40">
        <v>2</v>
      </c>
      <c r="U40" s="68">
        <v>2</v>
      </c>
      <c r="V40" s="24">
        <v>115</v>
      </c>
    </row>
    <row r="41" spans="1:22" x14ac:dyDescent="0.3">
      <c r="A41">
        <v>3</v>
      </c>
      <c r="B41">
        <v>2</v>
      </c>
      <c r="C41">
        <v>2</v>
      </c>
      <c r="D41">
        <v>2</v>
      </c>
      <c r="E41">
        <v>2</v>
      </c>
      <c r="F41">
        <v>3</v>
      </c>
      <c r="G41">
        <v>2</v>
      </c>
      <c r="H41">
        <v>2</v>
      </c>
      <c r="I41">
        <v>4</v>
      </c>
      <c r="J41">
        <v>2</v>
      </c>
      <c r="K41">
        <v>4</v>
      </c>
      <c r="L41">
        <v>5</v>
      </c>
      <c r="N41" s="18">
        <v>2</v>
      </c>
      <c r="O41" s="18">
        <v>46</v>
      </c>
      <c r="Q41" s="24" t="s">
        <v>163</v>
      </c>
      <c r="R41" s="24">
        <v>3.0514705882352939</v>
      </c>
      <c r="T41">
        <v>3</v>
      </c>
      <c r="U41" s="68">
        <v>3</v>
      </c>
      <c r="V41" s="24">
        <v>21</v>
      </c>
    </row>
    <row r="42" spans="1:22" x14ac:dyDescent="0.3">
      <c r="A42">
        <v>6</v>
      </c>
      <c r="B42">
        <v>2</v>
      </c>
      <c r="C42">
        <v>1</v>
      </c>
      <c r="D42">
        <v>5</v>
      </c>
      <c r="E42">
        <v>1</v>
      </c>
      <c r="F42">
        <v>1</v>
      </c>
      <c r="G42">
        <v>2</v>
      </c>
      <c r="H42">
        <v>2</v>
      </c>
      <c r="I42">
        <v>4</v>
      </c>
      <c r="J42">
        <v>2</v>
      </c>
      <c r="K42">
        <v>2</v>
      </c>
      <c r="L42">
        <v>2</v>
      </c>
      <c r="N42" s="18">
        <v>3</v>
      </c>
      <c r="O42" s="18">
        <v>17</v>
      </c>
      <c r="Q42" s="24" t="s">
        <v>164</v>
      </c>
      <c r="R42" s="24">
        <v>0.1249487271493798</v>
      </c>
      <c r="T42">
        <v>4</v>
      </c>
      <c r="U42" s="68">
        <v>4</v>
      </c>
      <c r="V42" s="24">
        <v>0</v>
      </c>
    </row>
    <row r="43" spans="1:22" x14ac:dyDescent="0.3">
      <c r="A43">
        <v>5</v>
      </c>
      <c r="B43">
        <v>2</v>
      </c>
      <c r="C43">
        <v>1</v>
      </c>
      <c r="D43">
        <v>5</v>
      </c>
      <c r="E43">
        <v>1</v>
      </c>
      <c r="F43">
        <v>2</v>
      </c>
      <c r="G43">
        <v>4</v>
      </c>
      <c r="H43">
        <v>4</v>
      </c>
      <c r="I43">
        <v>4</v>
      </c>
      <c r="J43">
        <v>3</v>
      </c>
      <c r="K43">
        <v>5</v>
      </c>
      <c r="L43">
        <v>2</v>
      </c>
      <c r="N43" s="18">
        <v>4</v>
      </c>
      <c r="O43" s="18">
        <v>17</v>
      </c>
      <c r="Q43" s="24" t="s">
        <v>165</v>
      </c>
      <c r="R43" s="24">
        <v>3</v>
      </c>
      <c r="T43">
        <v>5</v>
      </c>
      <c r="U43" s="68">
        <v>5</v>
      </c>
      <c r="V43" s="24">
        <v>0</v>
      </c>
    </row>
    <row r="44" spans="1:22" ht="15" thickBot="1" x14ac:dyDescent="0.35">
      <c r="A44">
        <v>5</v>
      </c>
      <c r="B44">
        <v>1</v>
      </c>
      <c r="C44">
        <v>1</v>
      </c>
      <c r="D44">
        <v>5</v>
      </c>
      <c r="E44">
        <v>1</v>
      </c>
      <c r="F44">
        <v>2</v>
      </c>
      <c r="G44">
        <v>4</v>
      </c>
      <c r="H44">
        <v>5</v>
      </c>
      <c r="I44">
        <v>5</v>
      </c>
      <c r="J44">
        <v>3</v>
      </c>
      <c r="K44">
        <v>3</v>
      </c>
      <c r="L44">
        <v>3</v>
      </c>
      <c r="N44" s="18">
        <v>5</v>
      </c>
      <c r="O44" s="18">
        <v>37</v>
      </c>
      <c r="Q44" s="24" t="s">
        <v>166</v>
      </c>
      <c r="R44" s="24">
        <v>2</v>
      </c>
      <c r="U44" s="69" t="s">
        <v>295</v>
      </c>
      <c r="V44" s="69">
        <v>0</v>
      </c>
    </row>
    <row r="45" spans="1:22" x14ac:dyDescent="0.3">
      <c r="A45">
        <v>5</v>
      </c>
      <c r="B45">
        <v>2</v>
      </c>
      <c r="C45">
        <v>3</v>
      </c>
      <c r="D45">
        <v>5</v>
      </c>
      <c r="E45">
        <v>3</v>
      </c>
      <c r="F45">
        <v>2</v>
      </c>
      <c r="G45">
        <v>3</v>
      </c>
      <c r="H45">
        <v>4</v>
      </c>
      <c r="I45">
        <v>5</v>
      </c>
      <c r="J45">
        <v>2</v>
      </c>
      <c r="K45">
        <v>2</v>
      </c>
      <c r="L45">
        <v>4</v>
      </c>
      <c r="Q45" s="24" t="s">
        <v>167</v>
      </c>
      <c r="R45" s="24">
        <v>1.4571400346603691</v>
      </c>
    </row>
    <row r="46" spans="1:22" x14ac:dyDescent="0.3">
      <c r="A46">
        <v>3</v>
      </c>
      <c r="B46">
        <v>2</v>
      </c>
      <c r="C46">
        <v>2</v>
      </c>
      <c r="D46">
        <v>3</v>
      </c>
      <c r="E46">
        <v>2</v>
      </c>
      <c r="F46">
        <v>2</v>
      </c>
      <c r="G46">
        <v>5</v>
      </c>
      <c r="H46">
        <v>5</v>
      </c>
      <c r="I46">
        <v>5</v>
      </c>
      <c r="J46">
        <v>5</v>
      </c>
      <c r="K46">
        <v>4</v>
      </c>
      <c r="L46">
        <v>5</v>
      </c>
      <c r="Q46" s="24" t="s">
        <v>168</v>
      </c>
      <c r="R46" s="24">
        <v>2.1232570806100215</v>
      </c>
    </row>
    <row r="47" spans="1:22" x14ac:dyDescent="0.3">
      <c r="A47">
        <v>5</v>
      </c>
      <c r="B47">
        <v>2</v>
      </c>
      <c r="C47">
        <v>3</v>
      </c>
      <c r="D47">
        <v>5</v>
      </c>
      <c r="E47">
        <v>3</v>
      </c>
      <c r="F47">
        <v>2</v>
      </c>
      <c r="G47">
        <v>4</v>
      </c>
      <c r="H47">
        <v>5</v>
      </c>
      <c r="I47">
        <v>5</v>
      </c>
      <c r="J47">
        <v>4</v>
      </c>
      <c r="K47">
        <v>4</v>
      </c>
      <c r="L47">
        <v>3</v>
      </c>
      <c r="Q47" s="24" t="s">
        <v>169</v>
      </c>
      <c r="R47" s="24">
        <v>-1.4533387029479143</v>
      </c>
    </row>
    <row r="48" spans="1:22" x14ac:dyDescent="0.3">
      <c r="A48">
        <v>3</v>
      </c>
      <c r="B48">
        <v>2</v>
      </c>
      <c r="C48">
        <v>2</v>
      </c>
      <c r="D48">
        <v>2</v>
      </c>
      <c r="E48">
        <v>2</v>
      </c>
      <c r="F48">
        <v>2</v>
      </c>
      <c r="G48">
        <v>3</v>
      </c>
      <c r="H48">
        <v>5</v>
      </c>
      <c r="I48">
        <v>5</v>
      </c>
      <c r="J48">
        <v>3</v>
      </c>
      <c r="K48">
        <v>2</v>
      </c>
      <c r="L48">
        <v>2</v>
      </c>
      <c r="Q48" s="24" t="s">
        <v>170</v>
      </c>
      <c r="R48" s="24">
        <v>0.17184793839767484</v>
      </c>
    </row>
    <row r="49" spans="1:21" x14ac:dyDescent="0.3">
      <c r="A49">
        <v>2</v>
      </c>
      <c r="B49">
        <v>2</v>
      </c>
      <c r="C49">
        <v>1</v>
      </c>
      <c r="D49">
        <v>2</v>
      </c>
      <c r="E49">
        <v>1</v>
      </c>
      <c r="F49">
        <v>2</v>
      </c>
      <c r="G49">
        <v>3</v>
      </c>
      <c r="H49">
        <v>5</v>
      </c>
      <c r="I49">
        <v>4</v>
      </c>
      <c r="J49">
        <v>4</v>
      </c>
      <c r="K49">
        <v>3</v>
      </c>
      <c r="L49">
        <v>4</v>
      </c>
      <c r="Q49" s="24" t="s">
        <v>171</v>
      </c>
      <c r="R49" s="24">
        <v>4</v>
      </c>
    </row>
    <row r="50" spans="1:21" x14ac:dyDescent="0.3">
      <c r="A50">
        <v>5</v>
      </c>
      <c r="B50">
        <v>2</v>
      </c>
      <c r="C50">
        <v>2</v>
      </c>
      <c r="D50">
        <v>5</v>
      </c>
      <c r="E50">
        <v>2</v>
      </c>
      <c r="F50">
        <v>3</v>
      </c>
      <c r="G50">
        <v>3</v>
      </c>
      <c r="H50">
        <v>3</v>
      </c>
      <c r="I50">
        <v>3</v>
      </c>
      <c r="J50">
        <v>2</v>
      </c>
      <c r="K50">
        <v>3</v>
      </c>
      <c r="L50">
        <v>3</v>
      </c>
      <c r="Q50" s="24" t="s">
        <v>172</v>
      </c>
      <c r="R50" s="24">
        <v>1</v>
      </c>
    </row>
    <row r="51" spans="1:21" x14ac:dyDescent="0.3">
      <c r="A51">
        <v>5</v>
      </c>
      <c r="B51">
        <v>2</v>
      </c>
      <c r="C51">
        <v>1</v>
      </c>
      <c r="D51">
        <v>4</v>
      </c>
      <c r="E51">
        <v>1</v>
      </c>
      <c r="F51">
        <v>2</v>
      </c>
      <c r="G51">
        <v>4</v>
      </c>
      <c r="H51">
        <v>3</v>
      </c>
      <c r="I51">
        <v>3</v>
      </c>
      <c r="J51">
        <v>3</v>
      </c>
      <c r="K51">
        <v>3</v>
      </c>
      <c r="L51">
        <v>2</v>
      </c>
      <c r="Q51" s="24" t="s">
        <v>173</v>
      </c>
      <c r="R51" s="24">
        <v>5</v>
      </c>
    </row>
    <row r="52" spans="1:21" x14ac:dyDescent="0.3">
      <c r="A52">
        <v>3</v>
      </c>
      <c r="B52">
        <v>2</v>
      </c>
      <c r="C52">
        <v>1</v>
      </c>
      <c r="D52">
        <v>2</v>
      </c>
      <c r="E52">
        <v>2</v>
      </c>
      <c r="F52">
        <v>2</v>
      </c>
      <c r="G52">
        <v>3</v>
      </c>
      <c r="H52">
        <v>4</v>
      </c>
      <c r="I52">
        <v>5</v>
      </c>
      <c r="J52">
        <v>2</v>
      </c>
      <c r="K52">
        <v>5</v>
      </c>
      <c r="L52">
        <v>4</v>
      </c>
      <c r="Q52" s="24" t="s">
        <v>174</v>
      </c>
      <c r="R52" s="24">
        <v>415</v>
      </c>
    </row>
    <row r="53" spans="1:21" ht="15" thickBot="1" x14ac:dyDescent="0.35">
      <c r="A53">
        <v>3</v>
      </c>
      <c r="B53">
        <v>2</v>
      </c>
      <c r="C53">
        <v>2</v>
      </c>
      <c r="D53">
        <v>2</v>
      </c>
      <c r="E53">
        <v>2</v>
      </c>
      <c r="F53">
        <v>2</v>
      </c>
      <c r="G53">
        <v>3</v>
      </c>
      <c r="H53">
        <v>3</v>
      </c>
      <c r="I53">
        <v>5</v>
      </c>
      <c r="J53">
        <v>3</v>
      </c>
      <c r="K53">
        <v>3</v>
      </c>
      <c r="L53">
        <v>3</v>
      </c>
      <c r="Q53" s="69" t="s">
        <v>175</v>
      </c>
      <c r="R53" s="69">
        <v>136</v>
      </c>
    </row>
    <row r="54" spans="1:21" x14ac:dyDescent="0.3">
      <c r="A54">
        <v>5</v>
      </c>
      <c r="B54">
        <v>2</v>
      </c>
      <c r="C54">
        <v>1</v>
      </c>
      <c r="D54">
        <v>4</v>
      </c>
      <c r="E54">
        <v>1</v>
      </c>
      <c r="F54">
        <v>2</v>
      </c>
      <c r="G54">
        <v>4</v>
      </c>
      <c r="H54">
        <v>5</v>
      </c>
      <c r="I54">
        <v>4</v>
      </c>
      <c r="J54">
        <v>4</v>
      </c>
      <c r="K54">
        <v>4</v>
      </c>
      <c r="L54">
        <v>4</v>
      </c>
    </row>
    <row r="55" spans="1:21" ht="15" thickBot="1" x14ac:dyDescent="0.35">
      <c r="A55">
        <v>3</v>
      </c>
      <c r="B55">
        <v>2</v>
      </c>
      <c r="C55">
        <v>1</v>
      </c>
      <c r="D55">
        <v>2</v>
      </c>
      <c r="E55">
        <v>1</v>
      </c>
      <c r="F55">
        <v>2</v>
      </c>
      <c r="G55">
        <v>3</v>
      </c>
      <c r="H55">
        <v>5</v>
      </c>
      <c r="I55">
        <v>4</v>
      </c>
      <c r="J55">
        <v>3</v>
      </c>
      <c r="K55">
        <v>3</v>
      </c>
      <c r="L55">
        <v>4</v>
      </c>
      <c r="T55" s="65"/>
    </row>
    <row r="56" spans="1:21" x14ac:dyDescent="0.3">
      <c r="A56">
        <v>5</v>
      </c>
      <c r="B56">
        <v>2</v>
      </c>
      <c r="C56">
        <v>2</v>
      </c>
      <c r="D56">
        <v>5</v>
      </c>
      <c r="E56">
        <v>4</v>
      </c>
      <c r="F56">
        <v>2</v>
      </c>
      <c r="G56">
        <v>3</v>
      </c>
      <c r="H56">
        <v>4</v>
      </c>
      <c r="I56">
        <v>4</v>
      </c>
      <c r="J56">
        <v>2</v>
      </c>
      <c r="K56">
        <v>3</v>
      </c>
      <c r="L56">
        <v>3</v>
      </c>
      <c r="N56" s="11" t="s">
        <v>147</v>
      </c>
      <c r="O56" s="11" t="s">
        <v>152</v>
      </c>
      <c r="Q56" s="70" t="s">
        <v>7</v>
      </c>
      <c r="R56" s="70"/>
      <c r="T56" s="34" t="s">
        <v>298</v>
      </c>
      <c r="U56" s="34" t="s">
        <v>296</v>
      </c>
    </row>
    <row r="57" spans="1:21" x14ac:dyDescent="0.3">
      <c r="A57">
        <v>3</v>
      </c>
      <c r="B57">
        <v>2</v>
      </c>
      <c r="C57">
        <v>2</v>
      </c>
      <c r="D57">
        <v>1</v>
      </c>
      <c r="E57">
        <v>2</v>
      </c>
      <c r="F57">
        <v>3</v>
      </c>
      <c r="G57">
        <v>2</v>
      </c>
      <c r="H57">
        <v>3</v>
      </c>
      <c r="I57">
        <v>4</v>
      </c>
      <c r="J57">
        <v>2</v>
      </c>
      <c r="K57">
        <v>3</v>
      </c>
      <c r="L57">
        <v>3</v>
      </c>
      <c r="N57" s="12">
        <v>1</v>
      </c>
      <c r="O57" s="12">
        <f t="array" ref="O57:O60">FREQUENCY(Educ,N57:N60)</f>
        <v>29</v>
      </c>
      <c r="Q57" s="24"/>
      <c r="R57" s="24"/>
      <c r="T57" s="68">
        <v>2</v>
      </c>
      <c r="U57" s="24">
        <v>100</v>
      </c>
    </row>
    <row r="58" spans="1:21" x14ac:dyDescent="0.3">
      <c r="A58">
        <v>2</v>
      </c>
      <c r="B58">
        <v>2</v>
      </c>
      <c r="C58">
        <v>2</v>
      </c>
      <c r="D58">
        <v>1</v>
      </c>
      <c r="E58">
        <v>2</v>
      </c>
      <c r="F58">
        <v>2</v>
      </c>
      <c r="G58">
        <v>4</v>
      </c>
      <c r="H58">
        <v>4</v>
      </c>
      <c r="I58">
        <v>5</v>
      </c>
      <c r="J58">
        <v>3</v>
      </c>
      <c r="K58">
        <v>5</v>
      </c>
      <c r="L58">
        <v>4</v>
      </c>
      <c r="N58" s="12">
        <v>2</v>
      </c>
      <c r="O58" s="12">
        <v>70</v>
      </c>
      <c r="Q58" s="24" t="s">
        <v>163</v>
      </c>
      <c r="R58" s="24">
        <v>2.2205882352941178</v>
      </c>
      <c r="T58" s="68">
        <v>3</v>
      </c>
      <c r="U58" s="24">
        <v>13</v>
      </c>
    </row>
    <row r="59" spans="1:21" x14ac:dyDescent="0.3">
      <c r="A59">
        <v>2</v>
      </c>
      <c r="B59">
        <v>2</v>
      </c>
      <c r="C59">
        <v>1</v>
      </c>
      <c r="D59">
        <v>2</v>
      </c>
      <c r="E59">
        <v>1</v>
      </c>
      <c r="F59">
        <v>2</v>
      </c>
      <c r="G59">
        <v>3</v>
      </c>
      <c r="H59">
        <v>4</v>
      </c>
      <c r="I59">
        <v>5</v>
      </c>
      <c r="J59">
        <v>3</v>
      </c>
      <c r="K59">
        <v>5</v>
      </c>
      <c r="L59">
        <v>2</v>
      </c>
      <c r="N59" s="12">
        <v>3</v>
      </c>
      <c r="O59" s="12">
        <v>13</v>
      </c>
      <c r="Q59" s="24" t="s">
        <v>164</v>
      </c>
      <c r="R59" s="24">
        <v>8.3294877709073595E-2</v>
      </c>
      <c r="T59" s="68">
        <v>4</v>
      </c>
      <c r="U59" s="24">
        <v>23</v>
      </c>
    </row>
    <row r="60" spans="1:21" ht="15" thickBot="1" x14ac:dyDescent="0.35">
      <c r="A60">
        <v>3</v>
      </c>
      <c r="B60">
        <v>2</v>
      </c>
      <c r="C60">
        <v>2</v>
      </c>
      <c r="D60">
        <v>2</v>
      </c>
      <c r="E60">
        <v>2</v>
      </c>
      <c r="F60">
        <v>2</v>
      </c>
      <c r="G60">
        <v>3</v>
      </c>
      <c r="H60">
        <v>4</v>
      </c>
      <c r="I60">
        <v>4</v>
      </c>
      <c r="J60">
        <v>3</v>
      </c>
      <c r="K60">
        <v>3</v>
      </c>
      <c r="L60">
        <v>3</v>
      </c>
      <c r="N60" s="12">
        <v>4</v>
      </c>
      <c r="O60" s="12">
        <v>23</v>
      </c>
      <c r="Q60" s="24" t="s">
        <v>165</v>
      </c>
      <c r="R60" s="24">
        <v>2</v>
      </c>
      <c r="T60" s="69" t="s">
        <v>295</v>
      </c>
      <c r="U60" s="69">
        <v>0</v>
      </c>
    </row>
    <row r="61" spans="1:21" x14ac:dyDescent="0.3">
      <c r="A61">
        <v>4</v>
      </c>
      <c r="B61">
        <v>2</v>
      </c>
      <c r="C61">
        <v>1</v>
      </c>
      <c r="D61">
        <v>4</v>
      </c>
      <c r="E61">
        <v>1</v>
      </c>
      <c r="F61">
        <v>2</v>
      </c>
      <c r="G61">
        <v>4</v>
      </c>
      <c r="H61">
        <v>4</v>
      </c>
      <c r="I61">
        <v>5</v>
      </c>
      <c r="J61">
        <v>2</v>
      </c>
      <c r="K61">
        <v>4</v>
      </c>
      <c r="L61">
        <v>4</v>
      </c>
      <c r="N61" s="12"/>
      <c r="O61" s="12"/>
      <c r="Q61" s="24" t="s">
        <v>166</v>
      </c>
      <c r="R61" s="24">
        <v>2</v>
      </c>
    </row>
    <row r="62" spans="1:21" x14ac:dyDescent="0.3">
      <c r="A62">
        <v>5</v>
      </c>
      <c r="B62">
        <v>2</v>
      </c>
      <c r="C62">
        <v>1</v>
      </c>
      <c r="D62">
        <v>5</v>
      </c>
      <c r="E62">
        <v>1</v>
      </c>
      <c r="F62">
        <v>2</v>
      </c>
      <c r="G62">
        <v>5</v>
      </c>
      <c r="H62">
        <v>5</v>
      </c>
      <c r="I62">
        <v>4</v>
      </c>
      <c r="J62">
        <v>3</v>
      </c>
      <c r="K62">
        <v>4</v>
      </c>
      <c r="L62">
        <v>1</v>
      </c>
      <c r="Q62" s="24" t="s">
        <v>167</v>
      </c>
      <c r="R62" s="24">
        <v>0.97137685001726048</v>
      </c>
    </row>
    <row r="63" spans="1:21" x14ac:dyDescent="0.3">
      <c r="A63">
        <v>2</v>
      </c>
      <c r="B63">
        <v>2</v>
      </c>
      <c r="C63">
        <v>1</v>
      </c>
      <c r="D63">
        <v>2</v>
      </c>
      <c r="E63">
        <v>1</v>
      </c>
      <c r="F63">
        <v>3</v>
      </c>
      <c r="G63">
        <v>2</v>
      </c>
      <c r="H63">
        <v>5</v>
      </c>
      <c r="I63">
        <v>3</v>
      </c>
      <c r="J63">
        <v>3</v>
      </c>
      <c r="K63">
        <v>4</v>
      </c>
      <c r="L63">
        <v>2</v>
      </c>
      <c r="Q63" s="24" t="s">
        <v>168</v>
      </c>
      <c r="R63" s="24">
        <v>0.94357298474945528</v>
      </c>
    </row>
    <row r="64" spans="1:21" x14ac:dyDescent="0.3">
      <c r="A64">
        <v>5</v>
      </c>
      <c r="B64">
        <v>2</v>
      </c>
      <c r="C64">
        <v>3</v>
      </c>
      <c r="D64">
        <v>4</v>
      </c>
      <c r="E64">
        <v>3</v>
      </c>
      <c r="F64">
        <v>2</v>
      </c>
      <c r="G64">
        <v>4</v>
      </c>
      <c r="H64">
        <v>4</v>
      </c>
      <c r="I64">
        <v>5</v>
      </c>
      <c r="J64">
        <v>4</v>
      </c>
      <c r="K64">
        <v>4</v>
      </c>
      <c r="L64">
        <v>5</v>
      </c>
      <c r="Q64" s="24" t="s">
        <v>169</v>
      </c>
      <c r="R64" s="24">
        <v>-0.45913448530172962</v>
      </c>
    </row>
    <row r="65" spans="1:21" x14ac:dyDescent="0.3">
      <c r="A65">
        <v>2</v>
      </c>
      <c r="B65">
        <v>2</v>
      </c>
      <c r="C65">
        <v>2</v>
      </c>
      <c r="D65">
        <v>1</v>
      </c>
      <c r="E65">
        <v>2</v>
      </c>
      <c r="F65">
        <v>2</v>
      </c>
      <c r="G65">
        <v>4</v>
      </c>
      <c r="H65">
        <v>5</v>
      </c>
      <c r="I65">
        <v>5</v>
      </c>
      <c r="J65">
        <v>3</v>
      </c>
      <c r="K65">
        <v>5</v>
      </c>
      <c r="L65">
        <v>4</v>
      </c>
      <c r="Q65" s="24" t="s">
        <v>170</v>
      </c>
      <c r="R65" s="24">
        <v>0.67458465557445535</v>
      </c>
    </row>
    <row r="66" spans="1:21" x14ac:dyDescent="0.3">
      <c r="A66">
        <v>2</v>
      </c>
      <c r="B66">
        <v>2</v>
      </c>
      <c r="C66">
        <v>2</v>
      </c>
      <c r="D66">
        <v>1</v>
      </c>
      <c r="E66">
        <v>2</v>
      </c>
      <c r="F66">
        <v>2</v>
      </c>
      <c r="G66">
        <v>4</v>
      </c>
      <c r="H66">
        <v>5</v>
      </c>
      <c r="I66">
        <v>5</v>
      </c>
      <c r="J66">
        <v>3</v>
      </c>
      <c r="K66">
        <v>5</v>
      </c>
      <c r="L66">
        <v>3</v>
      </c>
      <c r="Q66" s="24" t="s">
        <v>171</v>
      </c>
      <c r="R66" s="24">
        <v>3</v>
      </c>
    </row>
    <row r="67" spans="1:21" x14ac:dyDescent="0.3">
      <c r="A67">
        <v>3</v>
      </c>
      <c r="B67">
        <v>2</v>
      </c>
      <c r="C67">
        <v>2</v>
      </c>
      <c r="D67">
        <v>2</v>
      </c>
      <c r="E67">
        <v>2</v>
      </c>
      <c r="F67">
        <v>2</v>
      </c>
      <c r="G67">
        <v>4</v>
      </c>
      <c r="H67">
        <v>5</v>
      </c>
      <c r="I67">
        <v>3</v>
      </c>
      <c r="J67">
        <v>2</v>
      </c>
      <c r="K67">
        <v>4</v>
      </c>
      <c r="L67">
        <v>3</v>
      </c>
      <c r="Q67" s="24" t="s">
        <v>172</v>
      </c>
      <c r="R67" s="24">
        <v>1</v>
      </c>
    </row>
    <row r="68" spans="1:21" x14ac:dyDescent="0.3">
      <c r="A68">
        <v>4</v>
      </c>
      <c r="B68">
        <v>2</v>
      </c>
      <c r="C68">
        <v>2</v>
      </c>
      <c r="D68">
        <v>4</v>
      </c>
      <c r="E68">
        <v>2</v>
      </c>
      <c r="F68">
        <v>2</v>
      </c>
      <c r="G68">
        <v>4</v>
      </c>
      <c r="H68">
        <v>5</v>
      </c>
      <c r="I68">
        <v>4</v>
      </c>
      <c r="J68">
        <v>3</v>
      </c>
      <c r="K68">
        <v>4</v>
      </c>
      <c r="L68">
        <v>5</v>
      </c>
      <c r="Q68" s="24" t="s">
        <v>173</v>
      </c>
      <c r="R68" s="24">
        <v>4</v>
      </c>
    </row>
    <row r="69" spans="1:21" x14ac:dyDescent="0.3">
      <c r="A69">
        <v>4</v>
      </c>
      <c r="B69">
        <v>2</v>
      </c>
      <c r="C69">
        <v>2</v>
      </c>
      <c r="D69">
        <v>1</v>
      </c>
      <c r="E69">
        <v>3</v>
      </c>
      <c r="F69">
        <v>2</v>
      </c>
      <c r="G69">
        <v>4</v>
      </c>
      <c r="H69">
        <v>4</v>
      </c>
      <c r="I69">
        <v>3</v>
      </c>
      <c r="J69">
        <v>4</v>
      </c>
      <c r="K69">
        <v>3</v>
      </c>
      <c r="L69">
        <v>2</v>
      </c>
      <c r="Q69" s="24" t="s">
        <v>174</v>
      </c>
      <c r="R69" s="24">
        <v>302</v>
      </c>
    </row>
    <row r="70" spans="1:21" ht="15" thickBot="1" x14ac:dyDescent="0.35">
      <c r="A70">
        <v>2</v>
      </c>
      <c r="B70">
        <v>2</v>
      </c>
      <c r="C70">
        <v>2</v>
      </c>
      <c r="D70">
        <v>1</v>
      </c>
      <c r="E70">
        <v>2</v>
      </c>
      <c r="F70">
        <v>3</v>
      </c>
      <c r="G70">
        <v>5</v>
      </c>
      <c r="H70">
        <v>5</v>
      </c>
      <c r="I70">
        <v>4</v>
      </c>
      <c r="J70">
        <v>3</v>
      </c>
      <c r="K70">
        <v>5</v>
      </c>
      <c r="L70">
        <v>4</v>
      </c>
      <c r="Q70" s="69" t="s">
        <v>175</v>
      </c>
      <c r="R70" s="69">
        <v>136</v>
      </c>
    </row>
    <row r="71" spans="1:21" x14ac:dyDescent="0.3">
      <c r="A71">
        <v>5</v>
      </c>
      <c r="B71">
        <v>2</v>
      </c>
      <c r="C71">
        <v>1</v>
      </c>
      <c r="D71">
        <v>5</v>
      </c>
      <c r="E71">
        <v>1</v>
      </c>
      <c r="F71">
        <v>2</v>
      </c>
      <c r="G71">
        <v>4</v>
      </c>
      <c r="H71">
        <v>5</v>
      </c>
      <c r="I71">
        <v>5</v>
      </c>
      <c r="J71">
        <v>4</v>
      </c>
      <c r="K71">
        <v>4</v>
      </c>
      <c r="L71">
        <v>4</v>
      </c>
    </row>
    <row r="72" spans="1:21" x14ac:dyDescent="0.3">
      <c r="A72">
        <v>3</v>
      </c>
      <c r="B72">
        <v>2</v>
      </c>
      <c r="C72">
        <v>2</v>
      </c>
      <c r="D72">
        <v>2</v>
      </c>
      <c r="E72">
        <v>2</v>
      </c>
      <c r="F72">
        <v>2</v>
      </c>
      <c r="G72">
        <v>4</v>
      </c>
      <c r="H72">
        <v>4</v>
      </c>
      <c r="I72">
        <v>4</v>
      </c>
      <c r="J72">
        <v>3</v>
      </c>
      <c r="K72">
        <v>4</v>
      </c>
      <c r="L72">
        <v>3</v>
      </c>
    </row>
    <row r="73" spans="1:21" x14ac:dyDescent="0.3">
      <c r="A73">
        <v>5</v>
      </c>
      <c r="B73">
        <v>1</v>
      </c>
      <c r="C73">
        <v>2</v>
      </c>
      <c r="D73">
        <v>3</v>
      </c>
      <c r="E73">
        <v>2</v>
      </c>
      <c r="F73">
        <v>2</v>
      </c>
      <c r="G73">
        <v>4</v>
      </c>
      <c r="H73">
        <v>4</v>
      </c>
      <c r="I73">
        <v>4</v>
      </c>
      <c r="J73">
        <v>3</v>
      </c>
      <c r="K73">
        <v>2</v>
      </c>
      <c r="L73">
        <v>4</v>
      </c>
    </row>
    <row r="74" spans="1:21" ht="15" thickBot="1" x14ac:dyDescent="0.35">
      <c r="A74">
        <v>2</v>
      </c>
      <c r="B74">
        <v>2</v>
      </c>
      <c r="C74">
        <v>2</v>
      </c>
      <c r="D74">
        <v>1</v>
      </c>
      <c r="E74">
        <v>2</v>
      </c>
      <c r="F74">
        <v>2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</row>
    <row r="75" spans="1:21" ht="15" thickBot="1" x14ac:dyDescent="0.35">
      <c r="A75">
        <v>2</v>
      </c>
      <c r="B75">
        <v>2</v>
      </c>
      <c r="C75">
        <v>2</v>
      </c>
      <c r="D75">
        <v>1</v>
      </c>
      <c r="E75">
        <v>2</v>
      </c>
      <c r="F75">
        <v>2</v>
      </c>
      <c r="G75">
        <v>4</v>
      </c>
      <c r="H75">
        <v>4</v>
      </c>
      <c r="I75">
        <v>4</v>
      </c>
      <c r="J75">
        <v>3</v>
      </c>
      <c r="K75">
        <v>4</v>
      </c>
      <c r="L75">
        <v>2</v>
      </c>
      <c r="N75" s="13" t="s">
        <v>148</v>
      </c>
      <c r="O75" s="13" t="s">
        <v>151</v>
      </c>
      <c r="Q75" s="70" t="s">
        <v>134</v>
      </c>
      <c r="R75" s="70"/>
      <c r="T75" s="71"/>
    </row>
    <row r="76" spans="1:21" x14ac:dyDescent="0.3">
      <c r="A76">
        <v>2</v>
      </c>
      <c r="B76">
        <v>2</v>
      </c>
      <c r="C76">
        <v>2</v>
      </c>
      <c r="D76">
        <v>1</v>
      </c>
      <c r="E76">
        <v>2</v>
      </c>
      <c r="F76">
        <v>2</v>
      </c>
      <c r="G76">
        <v>3</v>
      </c>
      <c r="H76">
        <v>5</v>
      </c>
      <c r="I76">
        <v>4</v>
      </c>
      <c r="J76">
        <v>4</v>
      </c>
      <c r="K76">
        <v>4</v>
      </c>
      <c r="L76">
        <v>3</v>
      </c>
      <c r="N76" s="14">
        <v>1</v>
      </c>
      <c r="O76" s="14">
        <f t="array" ref="O76:O78">FREQUENCY(Job_Lvl,N76:N78)</f>
        <v>10</v>
      </c>
      <c r="Q76" s="24"/>
      <c r="R76" s="24"/>
      <c r="T76" s="34" t="s">
        <v>298</v>
      </c>
      <c r="U76" s="34">
        <v>10</v>
      </c>
    </row>
    <row r="77" spans="1:21" x14ac:dyDescent="0.3">
      <c r="A77">
        <v>2</v>
      </c>
      <c r="B77">
        <v>2</v>
      </c>
      <c r="C77">
        <v>2</v>
      </c>
      <c r="D77">
        <v>1</v>
      </c>
      <c r="E77">
        <v>2</v>
      </c>
      <c r="F77">
        <v>2</v>
      </c>
      <c r="G77">
        <v>4</v>
      </c>
      <c r="H77">
        <v>4</v>
      </c>
      <c r="I77">
        <v>4</v>
      </c>
      <c r="J77">
        <v>4</v>
      </c>
      <c r="K77">
        <v>4</v>
      </c>
      <c r="L77">
        <v>3</v>
      </c>
      <c r="N77" s="14">
        <v>2</v>
      </c>
      <c r="O77" s="14">
        <v>101</v>
      </c>
      <c r="Q77" s="24" t="s">
        <v>163</v>
      </c>
      <c r="R77" s="24">
        <v>2.1102941176470589</v>
      </c>
      <c r="T77" s="68">
        <v>2</v>
      </c>
      <c r="U77" s="24">
        <v>111</v>
      </c>
    </row>
    <row r="78" spans="1:21" x14ac:dyDescent="0.3">
      <c r="A78">
        <v>2</v>
      </c>
      <c r="B78">
        <v>2</v>
      </c>
      <c r="C78">
        <v>2</v>
      </c>
      <c r="D78">
        <v>1</v>
      </c>
      <c r="E78">
        <v>2</v>
      </c>
      <c r="F78">
        <v>1</v>
      </c>
      <c r="G78">
        <v>5</v>
      </c>
      <c r="H78">
        <v>5</v>
      </c>
      <c r="I78">
        <v>4</v>
      </c>
      <c r="J78">
        <v>4</v>
      </c>
      <c r="K78">
        <v>4</v>
      </c>
      <c r="L78">
        <v>4</v>
      </c>
      <c r="N78" s="14">
        <v>3</v>
      </c>
      <c r="O78" s="14">
        <v>25</v>
      </c>
      <c r="Q78" s="24" t="s">
        <v>164</v>
      </c>
      <c r="R78" s="24">
        <v>4.2616997894591439E-2</v>
      </c>
      <c r="T78" s="68">
        <v>3</v>
      </c>
      <c r="U78" s="24">
        <v>25</v>
      </c>
    </row>
    <row r="79" spans="1:21" ht="15" thickBot="1" x14ac:dyDescent="0.35">
      <c r="A79">
        <v>2</v>
      </c>
      <c r="B79">
        <v>1</v>
      </c>
      <c r="C79">
        <v>2</v>
      </c>
      <c r="D79">
        <v>1</v>
      </c>
      <c r="E79">
        <v>2</v>
      </c>
      <c r="F79">
        <v>2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N79" s="14"/>
      <c r="O79" s="14"/>
      <c r="Q79" s="24" t="s">
        <v>165</v>
      </c>
      <c r="R79" s="24">
        <v>2</v>
      </c>
      <c r="T79" s="69" t="s">
        <v>295</v>
      </c>
      <c r="U79" s="69">
        <v>0</v>
      </c>
    </row>
    <row r="80" spans="1:21" x14ac:dyDescent="0.3">
      <c r="A80">
        <v>5</v>
      </c>
      <c r="B80">
        <v>2</v>
      </c>
      <c r="C80">
        <v>1</v>
      </c>
      <c r="D80">
        <v>4</v>
      </c>
      <c r="E80">
        <v>1</v>
      </c>
      <c r="F80">
        <v>2</v>
      </c>
      <c r="G80">
        <v>4</v>
      </c>
      <c r="H80">
        <v>5</v>
      </c>
      <c r="I80">
        <v>5</v>
      </c>
      <c r="J80">
        <v>5</v>
      </c>
      <c r="K80">
        <v>4</v>
      </c>
      <c r="L80">
        <v>5</v>
      </c>
      <c r="N80" s="14"/>
      <c r="O80" s="14"/>
      <c r="Q80" s="24" t="s">
        <v>166</v>
      </c>
      <c r="R80" s="24">
        <v>2</v>
      </c>
    </row>
    <row r="81" spans="1:21" x14ac:dyDescent="0.3">
      <c r="A81">
        <v>5</v>
      </c>
      <c r="B81">
        <v>2</v>
      </c>
      <c r="C81">
        <v>1</v>
      </c>
      <c r="D81">
        <v>5</v>
      </c>
      <c r="E81">
        <v>1</v>
      </c>
      <c r="F81">
        <v>2</v>
      </c>
      <c r="G81">
        <v>2</v>
      </c>
      <c r="H81">
        <v>4</v>
      </c>
      <c r="I81">
        <v>5</v>
      </c>
      <c r="J81">
        <v>2</v>
      </c>
      <c r="K81">
        <v>2</v>
      </c>
      <c r="L81">
        <v>2</v>
      </c>
      <c r="Q81" s="24" t="s">
        <v>167</v>
      </c>
      <c r="R81" s="24">
        <v>0.49699532925217227</v>
      </c>
    </row>
    <row r="82" spans="1:21" x14ac:dyDescent="0.3">
      <c r="A82">
        <v>3</v>
      </c>
      <c r="B82">
        <v>2</v>
      </c>
      <c r="C82">
        <v>1</v>
      </c>
      <c r="D82">
        <v>4</v>
      </c>
      <c r="E82">
        <v>1</v>
      </c>
      <c r="F82">
        <v>2</v>
      </c>
      <c r="G82">
        <v>5</v>
      </c>
      <c r="H82">
        <v>5</v>
      </c>
      <c r="I82">
        <v>4</v>
      </c>
      <c r="J82">
        <v>4</v>
      </c>
      <c r="K82">
        <v>5</v>
      </c>
      <c r="L82">
        <v>5</v>
      </c>
      <c r="Q82" s="24" t="s">
        <v>168</v>
      </c>
      <c r="R82" s="24">
        <v>0.24700435729847514</v>
      </c>
    </row>
    <row r="83" spans="1:21" x14ac:dyDescent="0.3">
      <c r="A83">
        <v>2</v>
      </c>
      <c r="B83">
        <v>2</v>
      </c>
      <c r="C83">
        <v>2</v>
      </c>
      <c r="D83">
        <v>2</v>
      </c>
      <c r="E83">
        <v>2</v>
      </c>
      <c r="F83">
        <v>3</v>
      </c>
      <c r="G83">
        <v>4</v>
      </c>
      <c r="H83">
        <v>4</v>
      </c>
      <c r="I83">
        <v>4</v>
      </c>
      <c r="J83">
        <v>2</v>
      </c>
      <c r="K83">
        <v>3</v>
      </c>
      <c r="L83">
        <v>5</v>
      </c>
      <c r="Q83" s="24" t="s">
        <v>169</v>
      </c>
      <c r="R83" s="24">
        <v>0.85128885197945925</v>
      </c>
    </row>
    <row r="84" spans="1:21" x14ac:dyDescent="0.3">
      <c r="A84">
        <v>2</v>
      </c>
      <c r="B84">
        <v>2</v>
      </c>
      <c r="C84">
        <v>1</v>
      </c>
      <c r="D84">
        <v>2</v>
      </c>
      <c r="E84">
        <v>2</v>
      </c>
      <c r="F84">
        <v>3</v>
      </c>
      <c r="G84">
        <v>3</v>
      </c>
      <c r="H84">
        <v>4</v>
      </c>
      <c r="I84">
        <v>4</v>
      </c>
      <c r="J84">
        <v>3</v>
      </c>
      <c r="K84">
        <v>3</v>
      </c>
      <c r="L84">
        <v>4</v>
      </c>
      <c r="Q84" s="24" t="s">
        <v>170</v>
      </c>
      <c r="R84" s="24">
        <v>0.23174031688364274</v>
      </c>
    </row>
    <row r="85" spans="1:21" x14ac:dyDescent="0.3">
      <c r="A85">
        <v>2</v>
      </c>
      <c r="B85">
        <v>2</v>
      </c>
      <c r="C85">
        <v>2</v>
      </c>
      <c r="D85">
        <v>2</v>
      </c>
      <c r="E85">
        <v>2</v>
      </c>
      <c r="F85">
        <v>2</v>
      </c>
      <c r="G85">
        <v>4</v>
      </c>
      <c r="H85">
        <v>4</v>
      </c>
      <c r="I85">
        <v>5</v>
      </c>
      <c r="J85">
        <v>3</v>
      </c>
      <c r="K85">
        <v>4</v>
      </c>
      <c r="L85">
        <v>4</v>
      </c>
      <c r="Q85" s="24" t="s">
        <v>171</v>
      </c>
      <c r="R85" s="24">
        <v>2</v>
      </c>
    </row>
    <row r="86" spans="1:21" x14ac:dyDescent="0.3">
      <c r="A86">
        <v>6</v>
      </c>
      <c r="B86">
        <v>2</v>
      </c>
      <c r="C86">
        <v>3</v>
      </c>
      <c r="D86">
        <v>5</v>
      </c>
      <c r="E86">
        <v>4</v>
      </c>
      <c r="F86">
        <v>2</v>
      </c>
      <c r="G86">
        <v>3</v>
      </c>
      <c r="H86">
        <v>4</v>
      </c>
      <c r="I86">
        <v>4</v>
      </c>
      <c r="J86">
        <v>4</v>
      </c>
      <c r="K86">
        <v>4</v>
      </c>
      <c r="L86">
        <v>5</v>
      </c>
      <c r="Q86" s="24" t="s">
        <v>172</v>
      </c>
      <c r="R86" s="24">
        <v>1</v>
      </c>
    </row>
    <row r="87" spans="1:21" x14ac:dyDescent="0.3">
      <c r="A87">
        <v>6</v>
      </c>
      <c r="B87">
        <v>2</v>
      </c>
      <c r="C87">
        <v>1</v>
      </c>
      <c r="D87">
        <v>5</v>
      </c>
      <c r="E87">
        <v>2</v>
      </c>
      <c r="F87">
        <v>2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Q87" s="24" t="s">
        <v>173</v>
      </c>
      <c r="R87" s="24">
        <v>3</v>
      </c>
    </row>
    <row r="88" spans="1:21" x14ac:dyDescent="0.3">
      <c r="A88">
        <v>3</v>
      </c>
      <c r="B88">
        <v>2</v>
      </c>
      <c r="C88">
        <v>1</v>
      </c>
      <c r="D88">
        <v>2</v>
      </c>
      <c r="E88">
        <v>1</v>
      </c>
      <c r="F88">
        <v>2</v>
      </c>
      <c r="G88">
        <v>5</v>
      </c>
      <c r="H88">
        <v>5</v>
      </c>
      <c r="I88">
        <v>4</v>
      </c>
      <c r="J88">
        <v>4</v>
      </c>
      <c r="K88">
        <v>5</v>
      </c>
      <c r="L88">
        <v>4</v>
      </c>
      <c r="Q88" s="24" t="s">
        <v>174</v>
      </c>
      <c r="R88" s="24">
        <v>287</v>
      </c>
    </row>
    <row r="89" spans="1:21" ht="15" thickBot="1" x14ac:dyDescent="0.35">
      <c r="A89">
        <v>6</v>
      </c>
      <c r="B89">
        <v>2</v>
      </c>
      <c r="C89">
        <v>3</v>
      </c>
      <c r="D89">
        <v>5</v>
      </c>
      <c r="E89">
        <v>4</v>
      </c>
      <c r="F89">
        <v>2</v>
      </c>
      <c r="G89">
        <v>4</v>
      </c>
      <c r="H89">
        <v>4</v>
      </c>
      <c r="I89">
        <v>4</v>
      </c>
      <c r="J89">
        <v>4</v>
      </c>
      <c r="K89">
        <v>4</v>
      </c>
      <c r="L89">
        <v>3</v>
      </c>
      <c r="Q89" s="69" t="s">
        <v>175</v>
      </c>
      <c r="R89" s="69">
        <v>136</v>
      </c>
    </row>
    <row r="90" spans="1:21" x14ac:dyDescent="0.3">
      <c r="A90">
        <v>3</v>
      </c>
      <c r="B90">
        <v>2</v>
      </c>
      <c r="C90">
        <v>2</v>
      </c>
      <c r="D90">
        <v>3</v>
      </c>
      <c r="E90">
        <v>2</v>
      </c>
      <c r="F90">
        <v>1</v>
      </c>
      <c r="G90">
        <v>3</v>
      </c>
      <c r="H90">
        <v>4</v>
      </c>
      <c r="I90">
        <v>5</v>
      </c>
      <c r="J90">
        <v>3</v>
      </c>
      <c r="K90">
        <v>2</v>
      </c>
      <c r="L90">
        <v>3</v>
      </c>
    </row>
    <row r="91" spans="1:21" x14ac:dyDescent="0.3">
      <c r="A91">
        <v>3</v>
      </c>
      <c r="B91">
        <v>2</v>
      </c>
      <c r="C91">
        <v>2</v>
      </c>
      <c r="D91">
        <v>3</v>
      </c>
      <c r="E91">
        <v>2</v>
      </c>
      <c r="F91">
        <v>2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</row>
    <row r="92" spans="1:21" ht="15" thickBot="1" x14ac:dyDescent="0.35">
      <c r="A92">
        <v>3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5</v>
      </c>
      <c r="I92">
        <v>5</v>
      </c>
      <c r="J92">
        <v>2</v>
      </c>
      <c r="K92">
        <v>3</v>
      </c>
      <c r="L92">
        <v>3</v>
      </c>
    </row>
    <row r="93" spans="1:21" x14ac:dyDescent="0.3">
      <c r="A93">
        <v>3</v>
      </c>
      <c r="B93">
        <v>2</v>
      </c>
      <c r="C93">
        <v>2</v>
      </c>
      <c r="D93">
        <v>2</v>
      </c>
      <c r="E93">
        <v>2</v>
      </c>
      <c r="F93">
        <v>2</v>
      </c>
      <c r="G93">
        <v>3</v>
      </c>
      <c r="H93">
        <v>5</v>
      </c>
      <c r="I93">
        <v>4</v>
      </c>
      <c r="J93">
        <v>3</v>
      </c>
      <c r="K93">
        <v>4</v>
      </c>
      <c r="L93">
        <v>3</v>
      </c>
      <c r="N93" s="11" t="s">
        <v>142</v>
      </c>
      <c r="O93" s="11" t="s">
        <v>144</v>
      </c>
      <c r="Q93" s="70" t="s">
        <v>96</v>
      </c>
      <c r="R93" s="70"/>
      <c r="T93" s="34" t="s">
        <v>298</v>
      </c>
      <c r="U93" s="34" t="s">
        <v>296</v>
      </c>
    </row>
    <row r="94" spans="1:21" x14ac:dyDescent="0.3">
      <c r="A94">
        <v>4</v>
      </c>
      <c r="B94">
        <v>2</v>
      </c>
      <c r="C94">
        <v>2</v>
      </c>
      <c r="D94">
        <v>4</v>
      </c>
      <c r="E94">
        <v>2</v>
      </c>
      <c r="F94">
        <v>3</v>
      </c>
      <c r="G94">
        <v>5</v>
      </c>
      <c r="H94">
        <v>4</v>
      </c>
      <c r="I94">
        <v>4</v>
      </c>
      <c r="J94">
        <v>4</v>
      </c>
      <c r="K94">
        <v>4</v>
      </c>
      <c r="L94">
        <v>2</v>
      </c>
      <c r="N94" s="12">
        <v>1</v>
      </c>
      <c r="O94" s="12">
        <f t="array" ref="O94:O99">FREQUENCY(Age,N94:N99)</f>
        <v>0</v>
      </c>
      <c r="Q94" s="24"/>
      <c r="R94" s="24"/>
      <c r="T94" s="68">
        <v>2</v>
      </c>
      <c r="U94" s="24">
        <v>24</v>
      </c>
    </row>
    <row r="95" spans="1:21" x14ac:dyDescent="0.3">
      <c r="A95">
        <v>4</v>
      </c>
      <c r="B95">
        <v>2</v>
      </c>
      <c r="C95">
        <v>3</v>
      </c>
      <c r="D95">
        <v>5</v>
      </c>
      <c r="E95">
        <v>4</v>
      </c>
      <c r="F95">
        <v>3</v>
      </c>
      <c r="G95">
        <v>4</v>
      </c>
      <c r="H95">
        <v>4</v>
      </c>
      <c r="I95">
        <v>5</v>
      </c>
      <c r="J95">
        <v>3</v>
      </c>
      <c r="K95">
        <v>4</v>
      </c>
      <c r="L95">
        <v>3</v>
      </c>
      <c r="N95" s="12">
        <v>2</v>
      </c>
      <c r="O95" s="12">
        <v>24</v>
      </c>
      <c r="Q95" s="24" t="s">
        <v>163</v>
      </c>
      <c r="R95" s="24">
        <v>3.7205882352941178</v>
      </c>
      <c r="T95" s="68">
        <v>3</v>
      </c>
      <c r="U95" s="24">
        <v>45</v>
      </c>
    </row>
    <row r="96" spans="1:21" x14ac:dyDescent="0.3">
      <c r="A96">
        <v>2</v>
      </c>
      <c r="B96">
        <v>2</v>
      </c>
      <c r="C96">
        <v>2</v>
      </c>
      <c r="D96">
        <v>2</v>
      </c>
      <c r="E96">
        <v>2</v>
      </c>
      <c r="F96">
        <v>3</v>
      </c>
      <c r="G96">
        <v>3</v>
      </c>
      <c r="H96">
        <v>5</v>
      </c>
      <c r="I96">
        <v>3</v>
      </c>
      <c r="J96">
        <v>4</v>
      </c>
      <c r="K96">
        <v>5</v>
      </c>
      <c r="L96">
        <v>2</v>
      </c>
      <c r="N96" s="12">
        <v>3</v>
      </c>
      <c r="O96" s="12">
        <v>45</v>
      </c>
      <c r="Q96" s="24" t="s">
        <v>164</v>
      </c>
      <c r="R96" s="24">
        <v>0.1057657915662783</v>
      </c>
      <c r="T96" s="68">
        <v>4</v>
      </c>
      <c r="U96" s="24">
        <v>22</v>
      </c>
    </row>
    <row r="97" spans="1:21" x14ac:dyDescent="0.3">
      <c r="A97">
        <v>4</v>
      </c>
      <c r="B97">
        <v>2</v>
      </c>
      <c r="C97">
        <v>3</v>
      </c>
      <c r="D97">
        <v>5</v>
      </c>
      <c r="E97">
        <v>4</v>
      </c>
      <c r="F97">
        <v>2</v>
      </c>
      <c r="G97">
        <v>2</v>
      </c>
      <c r="H97">
        <v>4</v>
      </c>
      <c r="I97">
        <v>4</v>
      </c>
      <c r="J97">
        <v>2</v>
      </c>
      <c r="K97">
        <v>2</v>
      </c>
      <c r="L97">
        <v>4</v>
      </c>
      <c r="N97" s="12">
        <v>4</v>
      </c>
      <c r="O97" s="12">
        <v>22</v>
      </c>
      <c r="Q97" s="24" t="s">
        <v>165</v>
      </c>
      <c r="R97" s="24">
        <v>3</v>
      </c>
      <c r="T97" s="68">
        <v>5</v>
      </c>
      <c r="U97" s="24">
        <v>35</v>
      </c>
    </row>
    <row r="98" spans="1:21" x14ac:dyDescent="0.3">
      <c r="A98">
        <v>3</v>
      </c>
      <c r="B98">
        <v>2</v>
      </c>
      <c r="C98">
        <v>2</v>
      </c>
      <c r="D98">
        <v>1</v>
      </c>
      <c r="E98">
        <v>2</v>
      </c>
      <c r="F98">
        <v>2</v>
      </c>
      <c r="G98">
        <v>5</v>
      </c>
      <c r="H98">
        <v>5</v>
      </c>
      <c r="I98">
        <v>5</v>
      </c>
      <c r="J98">
        <v>4</v>
      </c>
      <c r="K98">
        <v>4</v>
      </c>
      <c r="L98">
        <v>5</v>
      </c>
      <c r="N98" s="12">
        <v>5</v>
      </c>
      <c r="O98" s="12">
        <v>35</v>
      </c>
      <c r="Q98" s="24" t="s">
        <v>166</v>
      </c>
      <c r="R98" s="24">
        <v>3</v>
      </c>
      <c r="T98" s="68">
        <v>6</v>
      </c>
      <c r="U98" s="24">
        <v>10</v>
      </c>
    </row>
    <row r="99" spans="1:21" ht="15" thickBot="1" x14ac:dyDescent="0.35">
      <c r="A99">
        <v>3</v>
      </c>
      <c r="B99">
        <v>2</v>
      </c>
      <c r="C99">
        <v>2</v>
      </c>
      <c r="D99">
        <v>2</v>
      </c>
      <c r="E99">
        <v>2</v>
      </c>
      <c r="F99">
        <v>2</v>
      </c>
      <c r="G99">
        <v>4</v>
      </c>
      <c r="H99">
        <v>4</v>
      </c>
      <c r="I99">
        <v>4</v>
      </c>
      <c r="J99">
        <v>3</v>
      </c>
      <c r="K99">
        <v>4</v>
      </c>
      <c r="L99">
        <v>4</v>
      </c>
      <c r="N99" s="12">
        <v>6</v>
      </c>
      <c r="O99" s="12">
        <v>10</v>
      </c>
      <c r="Q99" s="24" t="s">
        <v>167</v>
      </c>
      <c r="R99" s="24">
        <v>1.2334304854864071</v>
      </c>
      <c r="T99" s="69" t="s">
        <v>295</v>
      </c>
      <c r="U99" s="69">
        <v>0</v>
      </c>
    </row>
    <row r="100" spans="1:21" x14ac:dyDescent="0.3">
      <c r="A100">
        <v>4</v>
      </c>
      <c r="B100">
        <v>2</v>
      </c>
      <c r="C100">
        <v>2</v>
      </c>
      <c r="D100">
        <v>4</v>
      </c>
      <c r="E100">
        <v>4</v>
      </c>
      <c r="F100">
        <v>2</v>
      </c>
      <c r="G100">
        <v>3</v>
      </c>
      <c r="H100">
        <v>2</v>
      </c>
      <c r="I100">
        <v>4</v>
      </c>
      <c r="J100">
        <v>2</v>
      </c>
      <c r="K100">
        <v>2</v>
      </c>
      <c r="L100">
        <v>4</v>
      </c>
      <c r="Q100" s="24" t="s">
        <v>168</v>
      </c>
      <c r="R100" s="24">
        <v>1.521350762527234</v>
      </c>
    </row>
    <row r="101" spans="1:21" x14ac:dyDescent="0.3">
      <c r="A101">
        <v>3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4</v>
      </c>
      <c r="H101">
        <v>4</v>
      </c>
      <c r="I101">
        <v>5</v>
      </c>
      <c r="J101">
        <v>4</v>
      </c>
      <c r="K101">
        <v>4</v>
      </c>
      <c r="L101">
        <v>2</v>
      </c>
      <c r="Q101" s="24" t="s">
        <v>169</v>
      </c>
      <c r="R101" s="24">
        <v>-1.1060126780811614</v>
      </c>
    </row>
    <row r="102" spans="1:21" x14ac:dyDescent="0.3">
      <c r="A102">
        <v>5</v>
      </c>
      <c r="B102">
        <v>2</v>
      </c>
      <c r="C102">
        <v>3</v>
      </c>
      <c r="D102">
        <v>5</v>
      </c>
      <c r="E102">
        <v>4</v>
      </c>
      <c r="F102">
        <v>2</v>
      </c>
      <c r="G102">
        <v>4</v>
      </c>
      <c r="H102">
        <v>4</v>
      </c>
      <c r="I102">
        <v>3</v>
      </c>
      <c r="J102">
        <v>2</v>
      </c>
      <c r="K102">
        <v>3</v>
      </c>
      <c r="L102">
        <v>3</v>
      </c>
      <c r="Q102" s="24" t="s">
        <v>170</v>
      </c>
      <c r="R102" s="24">
        <v>0.21284271283121459</v>
      </c>
    </row>
    <row r="103" spans="1:21" x14ac:dyDescent="0.3">
      <c r="A103">
        <v>4</v>
      </c>
      <c r="B103">
        <v>2</v>
      </c>
      <c r="C103">
        <v>1</v>
      </c>
      <c r="D103">
        <v>2</v>
      </c>
      <c r="E103">
        <v>1</v>
      </c>
      <c r="F103">
        <v>2</v>
      </c>
      <c r="G103">
        <v>3</v>
      </c>
      <c r="H103">
        <v>4</v>
      </c>
      <c r="I103">
        <v>4</v>
      </c>
      <c r="J103">
        <v>4</v>
      </c>
      <c r="K103">
        <v>3</v>
      </c>
      <c r="L103">
        <v>3</v>
      </c>
      <c r="Q103" s="24" t="s">
        <v>171</v>
      </c>
      <c r="R103" s="24">
        <v>4</v>
      </c>
    </row>
    <row r="104" spans="1:21" x14ac:dyDescent="0.3">
      <c r="A104">
        <v>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4</v>
      </c>
      <c r="H104">
        <v>3</v>
      </c>
      <c r="I104">
        <v>3</v>
      </c>
      <c r="J104">
        <v>3</v>
      </c>
      <c r="K104">
        <v>2</v>
      </c>
      <c r="L104">
        <v>2</v>
      </c>
      <c r="Q104" s="24" t="s">
        <v>172</v>
      </c>
      <c r="R104" s="24">
        <v>2</v>
      </c>
    </row>
    <row r="105" spans="1:21" x14ac:dyDescent="0.3">
      <c r="A105">
        <v>3</v>
      </c>
      <c r="B105">
        <v>2</v>
      </c>
      <c r="C105">
        <v>2</v>
      </c>
      <c r="D105">
        <v>3</v>
      </c>
      <c r="E105">
        <v>2</v>
      </c>
      <c r="F105">
        <v>3</v>
      </c>
      <c r="G105">
        <v>2</v>
      </c>
      <c r="H105">
        <v>5</v>
      </c>
      <c r="I105">
        <v>5</v>
      </c>
      <c r="J105">
        <v>4</v>
      </c>
      <c r="K105">
        <v>4</v>
      </c>
      <c r="L105">
        <v>3</v>
      </c>
      <c r="Q105" s="24" t="s">
        <v>173</v>
      </c>
      <c r="R105" s="24">
        <v>6</v>
      </c>
    </row>
    <row r="106" spans="1:21" x14ac:dyDescent="0.3">
      <c r="A106">
        <v>3</v>
      </c>
      <c r="B106">
        <v>2</v>
      </c>
      <c r="C106">
        <v>2</v>
      </c>
      <c r="D106">
        <v>3</v>
      </c>
      <c r="E106">
        <v>2</v>
      </c>
      <c r="F106">
        <v>3</v>
      </c>
      <c r="G106">
        <v>4</v>
      </c>
      <c r="H106">
        <v>5</v>
      </c>
      <c r="I106">
        <v>4</v>
      </c>
      <c r="J106">
        <v>4</v>
      </c>
      <c r="K106">
        <v>4</v>
      </c>
      <c r="L106">
        <v>3</v>
      </c>
      <c r="Q106" s="24" t="s">
        <v>174</v>
      </c>
      <c r="R106" s="24">
        <v>506</v>
      </c>
    </row>
    <row r="107" spans="1:21" ht="15" thickBot="1" x14ac:dyDescent="0.35">
      <c r="A107">
        <v>5</v>
      </c>
      <c r="B107">
        <v>2</v>
      </c>
      <c r="C107">
        <v>3</v>
      </c>
      <c r="D107">
        <v>5</v>
      </c>
      <c r="E107">
        <v>4</v>
      </c>
      <c r="F107">
        <v>3</v>
      </c>
      <c r="G107">
        <v>3</v>
      </c>
      <c r="H107">
        <v>4</v>
      </c>
      <c r="I107">
        <v>5</v>
      </c>
      <c r="J107">
        <v>4</v>
      </c>
      <c r="K107">
        <v>4</v>
      </c>
      <c r="L107">
        <v>4</v>
      </c>
      <c r="Q107" s="69" t="s">
        <v>175</v>
      </c>
      <c r="R107" s="69">
        <v>136</v>
      </c>
    </row>
    <row r="108" spans="1:21" x14ac:dyDescent="0.3">
      <c r="A108">
        <v>4</v>
      </c>
      <c r="B108">
        <v>2</v>
      </c>
      <c r="C108">
        <v>2</v>
      </c>
      <c r="D108">
        <v>5</v>
      </c>
      <c r="E108">
        <v>4</v>
      </c>
      <c r="F108">
        <v>2</v>
      </c>
      <c r="G108">
        <v>3</v>
      </c>
      <c r="H108">
        <v>4</v>
      </c>
      <c r="I108">
        <v>4</v>
      </c>
      <c r="J108">
        <v>3</v>
      </c>
      <c r="K108">
        <v>3</v>
      </c>
      <c r="L108">
        <v>3</v>
      </c>
    </row>
    <row r="109" spans="1:21" x14ac:dyDescent="0.3">
      <c r="A109">
        <v>2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3</v>
      </c>
      <c r="H109">
        <v>4</v>
      </c>
      <c r="I109">
        <v>3</v>
      </c>
      <c r="J109">
        <v>2</v>
      </c>
      <c r="K109">
        <v>3</v>
      </c>
      <c r="L109">
        <v>4</v>
      </c>
    </row>
    <row r="110" spans="1:21" x14ac:dyDescent="0.3">
      <c r="A110">
        <v>3</v>
      </c>
      <c r="B110">
        <v>2</v>
      </c>
      <c r="C110">
        <v>1</v>
      </c>
      <c r="D110">
        <v>2</v>
      </c>
      <c r="E110">
        <v>2</v>
      </c>
      <c r="F110">
        <v>2</v>
      </c>
      <c r="G110">
        <v>4</v>
      </c>
      <c r="H110">
        <v>5</v>
      </c>
      <c r="I110">
        <v>4</v>
      </c>
      <c r="J110">
        <v>2</v>
      </c>
      <c r="K110">
        <v>2</v>
      </c>
      <c r="L110">
        <v>2</v>
      </c>
    </row>
    <row r="111" spans="1:21" x14ac:dyDescent="0.3">
      <c r="A111">
        <v>3</v>
      </c>
      <c r="B111">
        <v>2</v>
      </c>
      <c r="C111">
        <v>2</v>
      </c>
      <c r="D111">
        <v>2</v>
      </c>
      <c r="E111">
        <v>2</v>
      </c>
      <c r="F111">
        <v>3</v>
      </c>
      <c r="G111">
        <v>4</v>
      </c>
      <c r="H111">
        <v>5</v>
      </c>
      <c r="I111">
        <v>4</v>
      </c>
      <c r="J111">
        <v>3</v>
      </c>
      <c r="K111">
        <v>4</v>
      </c>
      <c r="L111">
        <v>4</v>
      </c>
    </row>
    <row r="112" spans="1:21" ht="15.6" x14ac:dyDescent="0.3">
      <c r="A112">
        <v>4</v>
      </c>
      <c r="B112">
        <v>2</v>
      </c>
      <c r="C112">
        <v>2</v>
      </c>
      <c r="D112">
        <v>3</v>
      </c>
      <c r="E112">
        <v>3</v>
      </c>
      <c r="F112">
        <v>2</v>
      </c>
      <c r="G112">
        <v>3</v>
      </c>
      <c r="H112">
        <v>4</v>
      </c>
      <c r="I112">
        <v>4</v>
      </c>
      <c r="J112">
        <v>3</v>
      </c>
      <c r="K112">
        <v>5</v>
      </c>
      <c r="L112">
        <v>3</v>
      </c>
      <c r="N112" s="86" t="s">
        <v>160</v>
      </c>
      <c r="O112" s="87" t="s">
        <v>153</v>
      </c>
      <c r="P112" s="87" t="s">
        <v>154</v>
      </c>
      <c r="Q112" s="87" t="s">
        <v>155</v>
      </c>
      <c r="R112" s="87" t="s">
        <v>156</v>
      </c>
      <c r="S112" s="87" t="s">
        <v>157</v>
      </c>
      <c r="T112" s="87" t="s">
        <v>158</v>
      </c>
    </row>
    <row r="113" spans="1:20" x14ac:dyDescent="0.3">
      <c r="A113">
        <v>5</v>
      </c>
      <c r="B113">
        <v>2</v>
      </c>
      <c r="C113">
        <v>2</v>
      </c>
      <c r="D113">
        <v>3</v>
      </c>
      <c r="E113">
        <v>4</v>
      </c>
      <c r="F113">
        <v>2</v>
      </c>
      <c r="G113">
        <v>4</v>
      </c>
      <c r="H113">
        <v>5</v>
      </c>
      <c r="I113">
        <v>4</v>
      </c>
      <c r="J113">
        <v>4</v>
      </c>
      <c r="K113">
        <v>4</v>
      </c>
      <c r="L113">
        <v>4</v>
      </c>
      <c r="N113" s="86" t="s">
        <v>159</v>
      </c>
      <c r="O113" s="86" t="s">
        <v>144</v>
      </c>
      <c r="P113" s="86" t="s">
        <v>144</v>
      </c>
      <c r="Q113" s="86" t="s">
        <v>144</v>
      </c>
      <c r="R113" s="86" t="s">
        <v>144</v>
      </c>
      <c r="S113" s="86" t="s">
        <v>144</v>
      </c>
      <c r="T113" s="86" t="s">
        <v>144</v>
      </c>
    </row>
    <row r="114" spans="1:20" x14ac:dyDescent="0.3">
      <c r="A114">
        <v>5</v>
      </c>
      <c r="B114">
        <v>2</v>
      </c>
      <c r="C114">
        <v>1</v>
      </c>
      <c r="D114">
        <v>4</v>
      </c>
      <c r="E114">
        <v>2</v>
      </c>
      <c r="F114">
        <v>2</v>
      </c>
      <c r="G114">
        <v>3</v>
      </c>
      <c r="H114">
        <v>5</v>
      </c>
      <c r="I114">
        <v>4</v>
      </c>
      <c r="J114">
        <v>4</v>
      </c>
      <c r="K114">
        <v>4</v>
      </c>
      <c r="L114">
        <v>4</v>
      </c>
      <c r="N114" s="12">
        <v>1</v>
      </c>
      <c r="O114" s="12">
        <f t="array" ref="O114:O119">FREQUENCY(Satis_1,N114:N119)</f>
        <v>3</v>
      </c>
      <c r="P114" s="12">
        <f t="array" ref="P114:P119">FREQUENCY(Satis_2,N114:N119)</f>
        <v>1</v>
      </c>
      <c r="Q114" s="12">
        <f t="array" ref="Q114:Q119">FREQUENCY(Satis_3,N114:N119)</f>
        <v>1</v>
      </c>
      <c r="R114" s="12">
        <f t="array" ref="R114:R119">FREQUENCY(Satis_4,N114:N119)</f>
        <v>4</v>
      </c>
      <c r="S114" s="12">
        <f t="array" ref="S114:S119">FREQUENCY(Satis_5,N114:N119)</f>
        <v>0</v>
      </c>
      <c r="T114" s="12">
        <f t="array" ref="T114:T119">FREQUENCY(Satis_6,N114:N119)</f>
        <v>5</v>
      </c>
    </row>
    <row r="115" spans="1:20" x14ac:dyDescent="0.3">
      <c r="A115">
        <v>2</v>
      </c>
      <c r="B115">
        <v>2</v>
      </c>
      <c r="C115">
        <v>2</v>
      </c>
      <c r="D115">
        <v>1</v>
      </c>
      <c r="E115">
        <v>2</v>
      </c>
      <c r="F115">
        <v>2</v>
      </c>
      <c r="G115">
        <v>3</v>
      </c>
      <c r="H115">
        <v>4</v>
      </c>
      <c r="I115">
        <v>5</v>
      </c>
      <c r="J115">
        <v>4</v>
      </c>
      <c r="K115">
        <v>4</v>
      </c>
      <c r="L115">
        <v>5</v>
      </c>
      <c r="N115" s="12">
        <v>2</v>
      </c>
      <c r="O115" s="12">
        <v>15</v>
      </c>
      <c r="P115" s="12">
        <v>8</v>
      </c>
      <c r="Q115" s="12">
        <v>8</v>
      </c>
      <c r="R115" s="12">
        <v>28</v>
      </c>
      <c r="S115" s="12">
        <v>17</v>
      </c>
      <c r="T115" s="12">
        <v>29</v>
      </c>
    </row>
    <row r="116" spans="1:20" x14ac:dyDescent="0.3">
      <c r="A116">
        <v>2</v>
      </c>
      <c r="B116">
        <v>2</v>
      </c>
      <c r="C116">
        <v>2</v>
      </c>
      <c r="D116">
        <v>1</v>
      </c>
      <c r="E116">
        <v>2</v>
      </c>
      <c r="F116">
        <v>3</v>
      </c>
      <c r="G116">
        <v>4</v>
      </c>
      <c r="H116">
        <v>5</v>
      </c>
      <c r="I116">
        <v>5</v>
      </c>
      <c r="J116">
        <v>4</v>
      </c>
      <c r="K116">
        <v>4</v>
      </c>
      <c r="L116">
        <v>4</v>
      </c>
      <c r="N116" s="12">
        <v>3</v>
      </c>
      <c r="O116" s="12">
        <v>44</v>
      </c>
      <c r="P116" s="12">
        <v>13</v>
      </c>
      <c r="Q116" s="12">
        <v>13</v>
      </c>
      <c r="R116" s="12">
        <v>55</v>
      </c>
      <c r="S116" s="12">
        <v>28</v>
      </c>
      <c r="T116" s="12">
        <v>43</v>
      </c>
    </row>
    <row r="117" spans="1:20" x14ac:dyDescent="0.3">
      <c r="A117">
        <v>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5</v>
      </c>
      <c r="I117">
        <v>5</v>
      </c>
      <c r="J117">
        <v>3</v>
      </c>
      <c r="K117">
        <v>4</v>
      </c>
      <c r="L117">
        <v>4</v>
      </c>
      <c r="N117" s="12">
        <v>4</v>
      </c>
      <c r="O117" s="12">
        <v>49</v>
      </c>
      <c r="P117" s="12">
        <v>58</v>
      </c>
      <c r="Q117" s="12">
        <v>58</v>
      </c>
      <c r="R117" s="12">
        <v>37</v>
      </c>
      <c r="S117" s="12">
        <v>63</v>
      </c>
      <c r="T117" s="12">
        <v>40</v>
      </c>
    </row>
    <row r="118" spans="1:20" x14ac:dyDescent="0.3">
      <c r="A118">
        <v>4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3</v>
      </c>
      <c r="N118" s="12">
        <v>5</v>
      </c>
      <c r="O118" s="12">
        <v>25</v>
      </c>
      <c r="P118" s="12">
        <v>56</v>
      </c>
      <c r="Q118" s="12">
        <v>56</v>
      </c>
      <c r="R118" s="12">
        <v>12</v>
      </c>
      <c r="S118" s="12">
        <v>28</v>
      </c>
      <c r="T118" s="12">
        <v>19</v>
      </c>
    </row>
    <row r="119" spans="1:20" x14ac:dyDescent="0.3">
      <c r="A119">
        <v>3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4</v>
      </c>
      <c r="H119">
        <v>5</v>
      </c>
      <c r="I119">
        <v>5</v>
      </c>
      <c r="J119">
        <v>2</v>
      </c>
      <c r="K119">
        <v>3</v>
      </c>
      <c r="L119">
        <v>3</v>
      </c>
      <c r="N119" s="12">
        <v>6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</row>
    <row r="120" spans="1:20" x14ac:dyDescent="0.3">
      <c r="A120">
        <v>3</v>
      </c>
      <c r="B120">
        <v>2</v>
      </c>
      <c r="C120">
        <v>1</v>
      </c>
      <c r="D120">
        <v>2</v>
      </c>
      <c r="E120">
        <v>1</v>
      </c>
      <c r="F120">
        <v>3</v>
      </c>
      <c r="G120">
        <v>4</v>
      </c>
      <c r="H120">
        <v>5</v>
      </c>
      <c r="I120">
        <v>4</v>
      </c>
      <c r="J120">
        <v>1</v>
      </c>
      <c r="K120">
        <v>3</v>
      </c>
      <c r="L120">
        <v>2</v>
      </c>
    </row>
    <row r="121" spans="1:20" x14ac:dyDescent="0.3">
      <c r="A121">
        <v>3</v>
      </c>
      <c r="B121">
        <v>2</v>
      </c>
      <c r="C121">
        <v>2</v>
      </c>
      <c r="D121">
        <v>3</v>
      </c>
      <c r="E121">
        <v>3</v>
      </c>
      <c r="F121">
        <v>3</v>
      </c>
      <c r="G121">
        <v>2</v>
      </c>
      <c r="H121">
        <v>4</v>
      </c>
      <c r="I121">
        <v>5</v>
      </c>
      <c r="J121">
        <v>3</v>
      </c>
      <c r="K121">
        <v>4</v>
      </c>
      <c r="L121">
        <v>5</v>
      </c>
    </row>
    <row r="122" spans="1:20" x14ac:dyDescent="0.3">
      <c r="A122">
        <v>6</v>
      </c>
      <c r="B122">
        <v>2</v>
      </c>
      <c r="C122">
        <v>1</v>
      </c>
      <c r="D122">
        <v>3</v>
      </c>
      <c r="E122">
        <v>1</v>
      </c>
      <c r="F122">
        <v>2</v>
      </c>
      <c r="G122">
        <v>4</v>
      </c>
      <c r="H122">
        <v>5</v>
      </c>
      <c r="I122">
        <v>5</v>
      </c>
      <c r="J122">
        <v>5</v>
      </c>
      <c r="K122">
        <v>5</v>
      </c>
      <c r="L122">
        <v>4</v>
      </c>
    </row>
    <row r="123" spans="1:20" x14ac:dyDescent="0.3">
      <c r="A123">
        <v>4</v>
      </c>
      <c r="B123">
        <v>2</v>
      </c>
      <c r="C123">
        <v>3</v>
      </c>
      <c r="D123">
        <v>4</v>
      </c>
      <c r="E123">
        <v>4</v>
      </c>
      <c r="F123">
        <v>2</v>
      </c>
      <c r="G123">
        <v>1</v>
      </c>
      <c r="H123">
        <v>5</v>
      </c>
      <c r="I123">
        <v>4</v>
      </c>
      <c r="J123">
        <v>1</v>
      </c>
      <c r="K123">
        <v>3</v>
      </c>
      <c r="L123">
        <v>2</v>
      </c>
    </row>
    <row r="124" spans="1:20" x14ac:dyDescent="0.3">
      <c r="A124">
        <v>4</v>
      </c>
      <c r="B124">
        <v>2</v>
      </c>
      <c r="C124">
        <v>3</v>
      </c>
      <c r="D124">
        <v>5</v>
      </c>
      <c r="E124">
        <v>3</v>
      </c>
      <c r="F124">
        <v>2</v>
      </c>
      <c r="G124">
        <v>3</v>
      </c>
      <c r="H124">
        <v>3</v>
      </c>
      <c r="I124">
        <v>4</v>
      </c>
      <c r="J124">
        <v>3</v>
      </c>
      <c r="K124">
        <v>2</v>
      </c>
      <c r="L124">
        <v>3</v>
      </c>
    </row>
    <row r="125" spans="1:20" x14ac:dyDescent="0.3">
      <c r="A125">
        <v>5</v>
      </c>
      <c r="B125">
        <v>2</v>
      </c>
      <c r="C125">
        <v>2</v>
      </c>
      <c r="D125">
        <v>5</v>
      </c>
      <c r="E125">
        <v>4</v>
      </c>
      <c r="F125">
        <v>2</v>
      </c>
      <c r="G125">
        <v>5</v>
      </c>
      <c r="H125">
        <v>4</v>
      </c>
      <c r="I125">
        <v>4</v>
      </c>
      <c r="J125">
        <v>4</v>
      </c>
      <c r="K125">
        <v>5</v>
      </c>
      <c r="L125">
        <v>5</v>
      </c>
    </row>
    <row r="126" spans="1:20" x14ac:dyDescent="0.3">
      <c r="A126">
        <v>3</v>
      </c>
      <c r="B126">
        <v>2</v>
      </c>
      <c r="C126">
        <v>2</v>
      </c>
      <c r="D126">
        <v>3</v>
      </c>
      <c r="E126">
        <v>2</v>
      </c>
      <c r="F126">
        <v>3</v>
      </c>
      <c r="G126">
        <v>3</v>
      </c>
      <c r="H126">
        <v>4</v>
      </c>
      <c r="I126">
        <v>5</v>
      </c>
      <c r="J126">
        <v>3</v>
      </c>
      <c r="K126">
        <v>5</v>
      </c>
      <c r="L126">
        <v>3</v>
      </c>
    </row>
    <row r="127" spans="1:20" x14ac:dyDescent="0.3">
      <c r="A127">
        <v>6</v>
      </c>
      <c r="B127">
        <v>2</v>
      </c>
      <c r="C127">
        <v>3</v>
      </c>
      <c r="D127">
        <v>5</v>
      </c>
      <c r="E127">
        <v>4</v>
      </c>
      <c r="F127">
        <v>2</v>
      </c>
      <c r="G127">
        <v>5</v>
      </c>
      <c r="H127">
        <v>4</v>
      </c>
      <c r="I127">
        <v>4</v>
      </c>
      <c r="J127">
        <v>3</v>
      </c>
      <c r="K127">
        <v>4</v>
      </c>
      <c r="L127">
        <v>4</v>
      </c>
    </row>
    <row r="128" spans="1:20" x14ac:dyDescent="0.3">
      <c r="A128">
        <v>3</v>
      </c>
      <c r="B128">
        <v>2</v>
      </c>
      <c r="C128">
        <v>2</v>
      </c>
      <c r="D128">
        <v>2</v>
      </c>
      <c r="E128">
        <v>2</v>
      </c>
      <c r="F128">
        <v>3</v>
      </c>
      <c r="G128">
        <v>2</v>
      </c>
      <c r="H128">
        <v>3</v>
      </c>
      <c r="I128">
        <v>4</v>
      </c>
      <c r="J128">
        <v>3</v>
      </c>
      <c r="K128">
        <v>3</v>
      </c>
      <c r="L128">
        <v>1</v>
      </c>
    </row>
    <row r="129" spans="1:12" x14ac:dyDescent="0.3">
      <c r="A129">
        <v>3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4</v>
      </c>
      <c r="H129">
        <v>5</v>
      </c>
      <c r="I129">
        <v>5</v>
      </c>
      <c r="J129">
        <v>2</v>
      </c>
      <c r="K129">
        <v>4</v>
      </c>
      <c r="L129">
        <v>1</v>
      </c>
    </row>
    <row r="130" spans="1:12" x14ac:dyDescent="0.3">
      <c r="A130">
        <v>4</v>
      </c>
      <c r="B130">
        <v>2</v>
      </c>
      <c r="C130">
        <v>1</v>
      </c>
      <c r="D130">
        <v>4</v>
      </c>
      <c r="E130">
        <v>1</v>
      </c>
      <c r="F130">
        <v>2</v>
      </c>
      <c r="G130">
        <v>2</v>
      </c>
      <c r="H130">
        <v>1</v>
      </c>
      <c r="I130">
        <v>1</v>
      </c>
      <c r="J130">
        <v>1</v>
      </c>
      <c r="K130">
        <v>2</v>
      </c>
      <c r="L130">
        <v>2</v>
      </c>
    </row>
    <row r="131" spans="1:12" x14ac:dyDescent="0.3">
      <c r="A131">
        <v>5</v>
      </c>
      <c r="B131">
        <v>2</v>
      </c>
      <c r="C131">
        <v>2</v>
      </c>
      <c r="D131">
        <v>2</v>
      </c>
      <c r="E131">
        <v>3</v>
      </c>
      <c r="F131">
        <v>2</v>
      </c>
      <c r="G131">
        <v>5</v>
      </c>
      <c r="H131">
        <v>5</v>
      </c>
      <c r="I131">
        <v>5</v>
      </c>
      <c r="J131">
        <v>3</v>
      </c>
      <c r="K131">
        <v>4</v>
      </c>
      <c r="L131">
        <v>3</v>
      </c>
    </row>
    <row r="132" spans="1:12" x14ac:dyDescent="0.3">
      <c r="A132">
        <v>4</v>
      </c>
      <c r="B132">
        <v>2</v>
      </c>
      <c r="C132">
        <v>3</v>
      </c>
      <c r="D132">
        <v>3</v>
      </c>
      <c r="E132">
        <v>2</v>
      </c>
      <c r="F132">
        <v>2</v>
      </c>
      <c r="G132">
        <v>3</v>
      </c>
      <c r="H132">
        <v>4</v>
      </c>
      <c r="I132">
        <v>5</v>
      </c>
      <c r="J132">
        <v>4</v>
      </c>
      <c r="K132">
        <v>5</v>
      </c>
      <c r="L132">
        <v>4</v>
      </c>
    </row>
    <row r="133" spans="1:12" x14ac:dyDescent="0.3">
      <c r="A133">
        <v>3</v>
      </c>
      <c r="B133">
        <v>2</v>
      </c>
      <c r="C133">
        <v>2</v>
      </c>
      <c r="D133">
        <v>2</v>
      </c>
      <c r="E133">
        <v>3</v>
      </c>
      <c r="F133">
        <v>2</v>
      </c>
      <c r="G133">
        <v>4</v>
      </c>
      <c r="H133">
        <v>4</v>
      </c>
      <c r="I133">
        <v>2</v>
      </c>
      <c r="J133">
        <v>2</v>
      </c>
      <c r="K133">
        <v>2</v>
      </c>
      <c r="L133">
        <v>2</v>
      </c>
    </row>
    <row r="134" spans="1:12" x14ac:dyDescent="0.3">
      <c r="A134">
        <v>2</v>
      </c>
      <c r="B134">
        <v>1</v>
      </c>
      <c r="C134">
        <v>1</v>
      </c>
      <c r="D134">
        <v>1</v>
      </c>
      <c r="E134">
        <v>1</v>
      </c>
      <c r="F134">
        <v>2</v>
      </c>
      <c r="G134">
        <v>3</v>
      </c>
      <c r="H134">
        <v>2</v>
      </c>
      <c r="I134">
        <v>4</v>
      </c>
      <c r="J134">
        <v>2</v>
      </c>
      <c r="K134">
        <v>4</v>
      </c>
      <c r="L134">
        <v>3</v>
      </c>
    </row>
    <row r="135" spans="1:12" x14ac:dyDescent="0.3">
      <c r="A135">
        <v>5</v>
      </c>
      <c r="B135">
        <v>2</v>
      </c>
      <c r="C135">
        <v>1</v>
      </c>
      <c r="D135">
        <v>2</v>
      </c>
      <c r="E135">
        <v>1</v>
      </c>
      <c r="F135">
        <v>1</v>
      </c>
      <c r="G135">
        <v>5</v>
      </c>
      <c r="H135">
        <v>4</v>
      </c>
      <c r="I135">
        <v>4</v>
      </c>
      <c r="J135">
        <v>5</v>
      </c>
      <c r="K135">
        <v>5</v>
      </c>
      <c r="L135">
        <v>1</v>
      </c>
    </row>
    <row r="136" spans="1:12" x14ac:dyDescent="0.3">
      <c r="A136">
        <v>4</v>
      </c>
      <c r="B136">
        <v>2</v>
      </c>
      <c r="C136">
        <v>3</v>
      </c>
      <c r="D136">
        <v>4</v>
      </c>
      <c r="E136">
        <v>3</v>
      </c>
      <c r="F136">
        <v>2</v>
      </c>
      <c r="G136">
        <v>3</v>
      </c>
      <c r="H136">
        <v>4</v>
      </c>
      <c r="I136">
        <v>4</v>
      </c>
      <c r="J136">
        <v>4</v>
      </c>
      <c r="K136">
        <v>4</v>
      </c>
      <c r="L136">
        <v>3</v>
      </c>
    </row>
    <row r="137" spans="1:12" x14ac:dyDescent="0.3">
      <c r="A137">
        <v>3</v>
      </c>
      <c r="B137">
        <v>2</v>
      </c>
      <c r="C137">
        <v>2</v>
      </c>
      <c r="D137">
        <v>3</v>
      </c>
      <c r="E137">
        <v>2</v>
      </c>
      <c r="F137">
        <v>2</v>
      </c>
      <c r="G137">
        <v>3</v>
      </c>
      <c r="H137">
        <v>2</v>
      </c>
      <c r="I137">
        <v>4</v>
      </c>
      <c r="J137">
        <v>2</v>
      </c>
      <c r="K137">
        <v>4</v>
      </c>
      <c r="L137">
        <v>2</v>
      </c>
    </row>
  </sheetData>
  <sortState ref="T94:T98">
    <sortCondition ref="T94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workbookViewId="0"/>
  </sheetViews>
  <sheetFormatPr defaultRowHeight="14.4" x14ac:dyDescent="0.3"/>
  <cols>
    <col min="1" max="1" width="10.21875" customWidth="1"/>
    <col min="2" max="4" width="12.33203125" customWidth="1"/>
    <col min="5" max="5" width="21" customWidth="1"/>
    <col min="6" max="6" width="13.88671875" customWidth="1"/>
    <col min="7" max="7" width="12.33203125" customWidth="1"/>
    <col min="9" max="9" width="17.109375" customWidth="1"/>
  </cols>
  <sheetData>
    <row r="1" spans="1:12" ht="15" thickBot="1" x14ac:dyDescent="0.35"/>
    <row r="2" spans="1:12" s="9" customFormat="1" x14ac:dyDescent="0.3">
      <c r="A2" s="11" t="s">
        <v>142</v>
      </c>
      <c r="B2" s="11" t="s">
        <v>144</v>
      </c>
      <c r="D2" s="35" t="s">
        <v>162</v>
      </c>
      <c r="E2" s="35" t="s">
        <v>3</v>
      </c>
      <c r="F2" s="34"/>
      <c r="G2" s="13" t="s">
        <v>145</v>
      </c>
      <c r="H2" s="13" t="s">
        <v>149</v>
      </c>
      <c r="I2" s="21"/>
      <c r="J2" s="21"/>
      <c r="K2" s="21"/>
      <c r="L2" s="21"/>
    </row>
    <row r="3" spans="1:12" x14ac:dyDescent="0.3">
      <c r="A3" s="12">
        <v>1</v>
      </c>
      <c r="B3" s="12">
        <f t="array" ref="B3:B8">FREQUENCY(Age,A3:A8)</f>
        <v>0</v>
      </c>
      <c r="C3" s="22"/>
      <c r="D3" s="29"/>
      <c r="E3" s="29"/>
      <c r="F3" s="24"/>
      <c r="G3" s="14">
        <v>1</v>
      </c>
      <c r="H3" s="14">
        <f t="array" ref="H3:H5">FREQUENCY(Pos,G3:G5)</f>
        <v>36</v>
      </c>
      <c r="I3" s="22"/>
      <c r="J3" s="22"/>
      <c r="K3" s="22"/>
      <c r="L3" s="22"/>
    </row>
    <row r="4" spans="1:12" x14ac:dyDescent="0.3">
      <c r="A4" s="12">
        <v>2</v>
      </c>
      <c r="B4" s="12">
        <v>24</v>
      </c>
      <c r="C4" s="22"/>
      <c r="D4" s="29" t="s">
        <v>163</v>
      </c>
      <c r="E4" s="31">
        <v>22.666666666666668</v>
      </c>
      <c r="F4" s="24"/>
      <c r="G4" s="14">
        <v>2</v>
      </c>
      <c r="H4" s="14">
        <v>79</v>
      </c>
      <c r="I4" s="22"/>
      <c r="J4" s="22"/>
      <c r="K4" s="22"/>
      <c r="L4" s="22"/>
    </row>
    <row r="5" spans="1:12" x14ac:dyDescent="0.3">
      <c r="A5" s="12">
        <v>3</v>
      </c>
      <c r="B5" s="12">
        <v>45</v>
      </c>
      <c r="C5" s="22"/>
      <c r="D5" s="29" t="s">
        <v>164</v>
      </c>
      <c r="E5" s="31">
        <v>6.6516497535907924</v>
      </c>
      <c r="F5" s="24"/>
      <c r="G5" s="14">
        <v>3</v>
      </c>
      <c r="H5" s="14">
        <v>21</v>
      </c>
      <c r="I5" s="22"/>
      <c r="J5" s="22"/>
      <c r="K5" s="22"/>
      <c r="L5" s="22"/>
    </row>
    <row r="6" spans="1:12" x14ac:dyDescent="0.3">
      <c r="A6" s="12">
        <v>4</v>
      </c>
      <c r="B6" s="12">
        <v>22</v>
      </c>
      <c r="C6" s="22"/>
      <c r="D6" s="29" t="s">
        <v>165</v>
      </c>
      <c r="E6" s="29">
        <v>23</v>
      </c>
      <c r="F6" s="24"/>
      <c r="I6" s="22"/>
      <c r="J6" s="22"/>
      <c r="K6" s="22"/>
      <c r="L6" s="22"/>
    </row>
    <row r="7" spans="1:12" x14ac:dyDescent="0.3">
      <c r="A7" s="12">
        <v>5</v>
      </c>
      <c r="B7" s="12">
        <v>35</v>
      </c>
      <c r="C7" s="22"/>
      <c r="D7" s="29" t="s">
        <v>166</v>
      </c>
      <c r="E7" s="29" t="e">
        <v>#N/A</v>
      </c>
      <c r="F7" s="24"/>
      <c r="G7" s="24"/>
      <c r="H7" s="22"/>
      <c r="I7" s="22"/>
      <c r="J7" s="22"/>
      <c r="K7" s="22"/>
      <c r="L7" s="22"/>
    </row>
    <row r="8" spans="1:12" x14ac:dyDescent="0.3">
      <c r="A8" s="12">
        <v>6</v>
      </c>
      <c r="B8" s="12">
        <v>10</v>
      </c>
      <c r="D8" s="29" t="s">
        <v>167</v>
      </c>
      <c r="E8" s="29">
        <v>16.293147844006899</v>
      </c>
      <c r="F8" s="24"/>
      <c r="G8" s="24"/>
    </row>
    <row r="9" spans="1:12" x14ac:dyDescent="0.3">
      <c r="A9" t="s">
        <v>89</v>
      </c>
      <c r="B9" s="12"/>
      <c r="D9" s="29" t="s">
        <v>168</v>
      </c>
      <c r="E9" s="29">
        <v>265.4666666666667</v>
      </c>
      <c r="F9" s="24"/>
      <c r="G9" s="24"/>
    </row>
    <row r="10" spans="1:12" x14ac:dyDescent="0.3">
      <c r="B10" s="22"/>
      <c r="D10" s="29" t="s">
        <v>169</v>
      </c>
      <c r="E10" s="31">
        <v>-0.67135547936583606</v>
      </c>
      <c r="F10" s="24"/>
      <c r="G10" s="25"/>
    </row>
    <row r="11" spans="1:12" x14ac:dyDescent="0.3">
      <c r="B11" s="22"/>
      <c r="D11" s="29" t="s">
        <v>170</v>
      </c>
      <c r="E11" s="31">
        <v>-4.5808128724276524E-2</v>
      </c>
      <c r="F11" s="24"/>
      <c r="G11" s="25"/>
    </row>
    <row r="12" spans="1:12" x14ac:dyDescent="0.3">
      <c r="B12" s="22"/>
      <c r="D12" s="29" t="s">
        <v>171</v>
      </c>
      <c r="E12" s="29">
        <v>45</v>
      </c>
      <c r="F12" s="24"/>
      <c r="G12" s="24"/>
    </row>
    <row r="13" spans="1:12" x14ac:dyDescent="0.3">
      <c r="B13" s="22"/>
      <c r="D13" s="29" t="s">
        <v>172</v>
      </c>
      <c r="E13" s="29">
        <v>0</v>
      </c>
      <c r="F13" s="24"/>
      <c r="G13" s="24"/>
    </row>
    <row r="14" spans="1:12" x14ac:dyDescent="0.3">
      <c r="B14" s="22"/>
      <c r="D14" s="29" t="s">
        <v>173</v>
      </c>
      <c r="E14" s="29">
        <v>45</v>
      </c>
      <c r="F14" s="24"/>
      <c r="G14" s="24"/>
    </row>
    <row r="15" spans="1:12" x14ac:dyDescent="0.3">
      <c r="B15" s="22"/>
      <c r="D15" s="29" t="s">
        <v>174</v>
      </c>
      <c r="E15" s="29">
        <v>136</v>
      </c>
      <c r="F15" s="24"/>
      <c r="G15" s="24"/>
    </row>
    <row r="16" spans="1:12" ht="15" thickBot="1" x14ac:dyDescent="0.35">
      <c r="B16" s="22"/>
      <c r="D16" s="33" t="s">
        <v>175</v>
      </c>
      <c r="E16" s="33">
        <v>6</v>
      </c>
      <c r="F16" s="24"/>
      <c r="G16" s="24"/>
    </row>
    <row r="17" spans="1:11" x14ac:dyDescent="0.3">
      <c r="B17" s="22"/>
      <c r="F17" s="1"/>
      <c r="G17" s="1"/>
    </row>
    <row r="18" spans="1:11" ht="28.8" x14ac:dyDescent="0.3">
      <c r="A18" s="26" t="s">
        <v>191</v>
      </c>
      <c r="B18" s="22"/>
    </row>
    <row r="19" spans="1:11" x14ac:dyDescent="0.3">
      <c r="B19" s="22"/>
      <c r="H19" s="36"/>
    </row>
    <row r="20" spans="1:11" x14ac:dyDescent="0.3">
      <c r="B20" s="22"/>
    </row>
    <row r="21" spans="1:11" x14ac:dyDescent="0.3">
      <c r="B21" s="22"/>
    </row>
    <row r="22" spans="1:11" x14ac:dyDescent="0.3">
      <c r="B22" s="23"/>
      <c r="I22" s="9"/>
      <c r="K22" s="9"/>
    </row>
    <row r="23" spans="1:11" x14ac:dyDescent="0.3">
      <c r="B23" s="23"/>
    </row>
    <row r="24" spans="1:11" s="20" customFormat="1" x14ac:dyDescent="0.3">
      <c r="A24" s="36" t="s">
        <v>160</v>
      </c>
      <c r="B24" s="36" t="s">
        <v>153</v>
      </c>
      <c r="C24" s="36" t="s">
        <v>154</v>
      </c>
      <c r="D24" s="36" t="s">
        <v>155</v>
      </c>
      <c r="E24" s="36" t="s">
        <v>156</v>
      </c>
      <c r="F24" s="36" t="s">
        <v>157</v>
      </c>
      <c r="G24" s="36" t="s">
        <v>158</v>
      </c>
    </row>
    <row r="25" spans="1:11" x14ac:dyDescent="0.3">
      <c r="A25" s="36" t="s">
        <v>159</v>
      </c>
      <c r="B25" s="36" t="s">
        <v>144</v>
      </c>
      <c r="C25" s="36" t="s">
        <v>144</v>
      </c>
      <c r="D25" s="36" t="s">
        <v>144</v>
      </c>
      <c r="E25" s="36" t="s">
        <v>144</v>
      </c>
      <c r="F25" s="36" t="s">
        <v>144</v>
      </c>
      <c r="G25" s="36" t="s">
        <v>144</v>
      </c>
      <c r="H25" s="36" t="s">
        <v>182</v>
      </c>
      <c r="I25" s="36" t="s">
        <v>183</v>
      </c>
    </row>
    <row r="26" spans="1:11" x14ac:dyDescent="0.3">
      <c r="A26" s="27">
        <v>1</v>
      </c>
      <c r="B26" s="27">
        <f t="array" ref="B26:B31">FREQUENCY(Satis_1,A26:A31)</f>
        <v>3</v>
      </c>
      <c r="C26" s="27">
        <f t="array" ref="C26:C31">FREQUENCY(Satis_2,A26:A31)</f>
        <v>1</v>
      </c>
      <c r="D26" s="27">
        <f t="array" ref="D26:D31">FREQUENCY(Satis_3,A26:A31)</f>
        <v>1</v>
      </c>
      <c r="E26" s="27">
        <f t="array" ref="E26:E31">FREQUENCY(Satis_4,A26:A31)</f>
        <v>4</v>
      </c>
      <c r="F26" s="27">
        <f t="array" ref="F26:F31">FREQUENCY(Satis_5,A26:A31)</f>
        <v>0</v>
      </c>
      <c r="G26" s="27">
        <f t="array" ref="G26:G31">FREQUENCY(Satis_6,A26:A31)</f>
        <v>5</v>
      </c>
      <c r="H26" s="37" t="s">
        <v>153</v>
      </c>
      <c r="I26" s="37" t="s">
        <v>181</v>
      </c>
    </row>
    <row r="27" spans="1:11" x14ac:dyDescent="0.3">
      <c r="A27" s="27">
        <v>2</v>
      </c>
      <c r="B27" s="27">
        <v>15</v>
      </c>
      <c r="C27" s="27">
        <v>8</v>
      </c>
      <c r="D27" s="27">
        <v>8</v>
      </c>
      <c r="E27" s="27">
        <v>28</v>
      </c>
      <c r="F27" s="27">
        <v>17</v>
      </c>
      <c r="G27" s="27">
        <v>29</v>
      </c>
      <c r="H27" s="37" t="s">
        <v>154</v>
      </c>
      <c r="I27" s="37" t="s">
        <v>176</v>
      </c>
    </row>
    <row r="28" spans="1:11" x14ac:dyDescent="0.3">
      <c r="A28" s="27">
        <v>3</v>
      </c>
      <c r="B28" s="27">
        <v>44</v>
      </c>
      <c r="C28" s="27">
        <v>13</v>
      </c>
      <c r="D28" s="27">
        <v>13</v>
      </c>
      <c r="E28" s="27">
        <v>55</v>
      </c>
      <c r="F28" s="27">
        <v>28</v>
      </c>
      <c r="G28" s="27">
        <v>43</v>
      </c>
      <c r="H28" s="37" t="s">
        <v>155</v>
      </c>
      <c r="I28" s="37" t="s">
        <v>177</v>
      </c>
    </row>
    <row r="29" spans="1:11" x14ac:dyDescent="0.3">
      <c r="A29" s="27">
        <v>4</v>
      </c>
      <c r="B29" s="27">
        <v>49</v>
      </c>
      <c r="C29" s="27">
        <v>58</v>
      </c>
      <c r="D29" s="27">
        <v>58</v>
      </c>
      <c r="E29" s="27">
        <v>37</v>
      </c>
      <c r="F29" s="27">
        <v>63</v>
      </c>
      <c r="G29" s="27">
        <v>40</v>
      </c>
      <c r="H29" s="37" t="s">
        <v>156</v>
      </c>
      <c r="I29" s="37" t="s">
        <v>178</v>
      </c>
    </row>
    <row r="30" spans="1:11" x14ac:dyDescent="0.3">
      <c r="A30" s="27">
        <v>5</v>
      </c>
      <c r="B30" s="27">
        <v>25</v>
      </c>
      <c r="C30" s="27">
        <v>56</v>
      </c>
      <c r="D30" s="27">
        <v>56</v>
      </c>
      <c r="E30" s="27">
        <v>12</v>
      </c>
      <c r="F30" s="27">
        <v>28</v>
      </c>
      <c r="G30" s="27">
        <v>19</v>
      </c>
      <c r="H30" s="37" t="s">
        <v>157</v>
      </c>
      <c r="I30" s="37" t="s">
        <v>179</v>
      </c>
    </row>
    <row r="31" spans="1:11" x14ac:dyDescent="0.3">
      <c r="A31" s="27">
        <v>6</v>
      </c>
      <c r="B31" s="27">
        <v>0</v>
      </c>
      <c r="C31" s="27">
        <v>0</v>
      </c>
      <c r="D31" s="27">
        <v>0</v>
      </c>
      <c r="E31" s="27">
        <v>0</v>
      </c>
      <c r="F31" s="27">
        <v>0</v>
      </c>
      <c r="G31" s="27">
        <v>0</v>
      </c>
      <c r="H31" s="37" t="s">
        <v>158</v>
      </c>
      <c r="I31" s="37" t="s">
        <v>180</v>
      </c>
    </row>
    <row r="32" spans="1:11" x14ac:dyDescent="0.3">
      <c r="A32" s="38" t="s">
        <v>83</v>
      </c>
      <c r="B32" s="37"/>
      <c r="C32" s="37"/>
      <c r="D32" s="37"/>
      <c r="E32" s="37"/>
      <c r="F32" s="37"/>
      <c r="G32" s="37"/>
      <c r="H32" s="37"/>
    </row>
    <row r="33" spans="1:13" ht="15" thickBot="1" x14ac:dyDescent="0.35">
      <c r="A33" s="37"/>
      <c r="B33" s="37"/>
      <c r="C33" s="37"/>
      <c r="D33" s="37"/>
      <c r="E33" s="37"/>
      <c r="F33" s="37"/>
      <c r="G33" s="37"/>
      <c r="H33" s="37"/>
      <c r="I33" s="1"/>
      <c r="J33" s="1"/>
      <c r="K33" s="1"/>
      <c r="L33" s="1"/>
      <c r="M33" s="1"/>
    </row>
    <row r="34" spans="1:13" x14ac:dyDescent="0.3">
      <c r="A34" s="37"/>
      <c r="B34" s="28"/>
      <c r="C34" s="28" t="s">
        <v>187</v>
      </c>
      <c r="D34" s="28" t="s">
        <v>184</v>
      </c>
      <c r="E34" s="28" t="s">
        <v>185</v>
      </c>
      <c r="F34" s="28" t="s">
        <v>186</v>
      </c>
      <c r="G34" s="28" t="s">
        <v>188</v>
      </c>
      <c r="H34" s="28" t="s">
        <v>189</v>
      </c>
      <c r="I34" s="66"/>
      <c r="J34" s="66"/>
      <c r="K34" s="66"/>
      <c r="L34" s="66"/>
      <c r="M34" s="66"/>
    </row>
    <row r="35" spans="1:13" x14ac:dyDescent="0.3">
      <c r="A35" s="37"/>
      <c r="B35" s="30" t="s">
        <v>163</v>
      </c>
      <c r="C35" s="29">
        <v>27.2</v>
      </c>
      <c r="D35" s="29">
        <v>27.2</v>
      </c>
      <c r="E35" s="29">
        <v>27.2</v>
      </c>
      <c r="F35" s="29">
        <v>27.2</v>
      </c>
      <c r="G35" s="29">
        <v>27.2</v>
      </c>
      <c r="H35" s="29">
        <v>27.2</v>
      </c>
      <c r="I35" s="24"/>
      <c r="J35" s="24"/>
      <c r="K35" s="24"/>
      <c r="L35" s="24"/>
      <c r="M35" s="24"/>
    </row>
    <row r="36" spans="1:13" x14ac:dyDescent="0.3">
      <c r="A36" s="37"/>
      <c r="B36" s="30" t="s">
        <v>164</v>
      </c>
      <c r="C36" s="29">
        <v>8.651011501552869</v>
      </c>
      <c r="D36" s="31">
        <v>12.318279100588684</v>
      </c>
      <c r="E36" s="31">
        <v>12.318279100588684</v>
      </c>
      <c r="F36" s="29">
        <v>9.0520715861066847</v>
      </c>
      <c r="G36" s="29">
        <v>10.31212878119741</v>
      </c>
      <c r="H36" s="31">
        <v>6.9885620838624591</v>
      </c>
      <c r="I36" s="24"/>
      <c r="J36" s="24"/>
      <c r="K36" s="24"/>
      <c r="L36" s="24"/>
      <c r="M36" s="24"/>
    </row>
    <row r="37" spans="1:13" x14ac:dyDescent="0.3">
      <c r="A37" s="37"/>
      <c r="B37" s="30" t="s">
        <v>165</v>
      </c>
      <c r="C37" s="29">
        <v>25</v>
      </c>
      <c r="D37" s="29">
        <v>13</v>
      </c>
      <c r="E37" s="29">
        <v>13</v>
      </c>
      <c r="F37" s="29">
        <v>28</v>
      </c>
      <c r="G37" s="29">
        <v>28</v>
      </c>
      <c r="H37" s="29">
        <v>29</v>
      </c>
      <c r="I37" s="24"/>
      <c r="J37" s="24"/>
      <c r="K37" s="24"/>
      <c r="L37" s="24"/>
      <c r="M37" s="24"/>
    </row>
    <row r="38" spans="1:13" x14ac:dyDescent="0.3">
      <c r="A38" s="37"/>
      <c r="B38" s="30" t="s">
        <v>166</v>
      </c>
      <c r="C38" s="29" t="e">
        <v>#N/A</v>
      </c>
      <c r="D38" s="29" t="e">
        <v>#N/A</v>
      </c>
      <c r="E38" s="29" t="e">
        <v>#N/A</v>
      </c>
      <c r="F38" s="29" t="e">
        <v>#N/A</v>
      </c>
      <c r="G38" s="29">
        <v>28</v>
      </c>
      <c r="H38" s="29" t="e">
        <v>#N/A</v>
      </c>
      <c r="I38" s="24"/>
      <c r="J38" s="24"/>
      <c r="K38" s="24"/>
      <c r="L38" s="24"/>
      <c r="M38" s="24"/>
    </row>
    <row r="39" spans="1:13" x14ac:dyDescent="0.3">
      <c r="A39" s="37"/>
      <c r="B39" s="30" t="s">
        <v>167</v>
      </c>
      <c r="C39" s="29">
        <v>19.344249791604742</v>
      </c>
      <c r="D39" s="31">
        <v>27.544509434731271</v>
      </c>
      <c r="E39" s="31">
        <v>27.544509434731271</v>
      </c>
      <c r="F39" s="29">
        <v>20.241047403728889</v>
      </c>
      <c r="G39" s="29">
        <v>23.058620947489466</v>
      </c>
      <c r="H39" s="31">
        <v>15.626899884494046</v>
      </c>
      <c r="I39" s="24"/>
      <c r="J39" s="24"/>
      <c r="K39" s="24"/>
      <c r="L39" s="24"/>
      <c r="M39" s="24"/>
    </row>
    <row r="40" spans="1:13" x14ac:dyDescent="0.3">
      <c r="A40" s="37"/>
      <c r="B40" s="30" t="s">
        <v>168</v>
      </c>
      <c r="C40" s="29">
        <v>374.20000000000005</v>
      </c>
      <c r="D40" s="29">
        <v>758.7</v>
      </c>
      <c r="E40" s="29">
        <v>758.7</v>
      </c>
      <c r="F40" s="29">
        <v>409.70000000000005</v>
      </c>
      <c r="G40" s="29">
        <v>531.70000000000005</v>
      </c>
      <c r="H40" s="29">
        <v>244.20000000000005</v>
      </c>
      <c r="I40" s="24"/>
      <c r="J40" s="24"/>
      <c r="K40" s="24"/>
      <c r="L40" s="24"/>
      <c r="M40" s="24"/>
    </row>
    <row r="41" spans="1:13" x14ac:dyDescent="0.3">
      <c r="A41" s="37"/>
      <c r="B41" s="31" t="s">
        <v>169</v>
      </c>
      <c r="C41" s="29">
        <v>-2.0130298993812827</v>
      </c>
      <c r="D41" s="29">
        <v>-3.1451902363843418</v>
      </c>
      <c r="E41" s="29">
        <v>-3.1451902363843418</v>
      </c>
      <c r="F41" s="29">
        <v>-0.92847484383609569</v>
      </c>
      <c r="G41" s="29">
        <v>1.7309488350201487</v>
      </c>
      <c r="H41" s="29">
        <v>-0.94469832799071263</v>
      </c>
      <c r="I41" s="24"/>
      <c r="J41" s="24"/>
      <c r="K41" s="24"/>
      <c r="L41" s="24"/>
      <c r="M41" s="24"/>
    </row>
    <row r="42" spans="1:13" x14ac:dyDescent="0.3">
      <c r="A42" s="37"/>
      <c r="B42" s="31" t="s">
        <v>170</v>
      </c>
      <c r="C42" s="29">
        <v>-5.16396895033066E-2</v>
      </c>
      <c r="D42" s="29">
        <v>0.50204279387942241</v>
      </c>
      <c r="E42" s="29">
        <v>0.50204279387942241</v>
      </c>
      <c r="F42" s="29">
        <v>0.32295652227876476</v>
      </c>
      <c r="G42" s="29">
        <v>0.83939432351100685</v>
      </c>
      <c r="H42" s="29">
        <v>-0.59453540749717948</v>
      </c>
      <c r="I42" s="24"/>
      <c r="J42" s="24"/>
      <c r="K42" s="24"/>
      <c r="L42" s="24"/>
      <c r="M42" s="24"/>
    </row>
    <row r="43" spans="1:13" x14ac:dyDescent="0.3">
      <c r="A43" s="37"/>
      <c r="B43" s="30" t="s">
        <v>171</v>
      </c>
      <c r="C43" s="29">
        <v>46</v>
      </c>
      <c r="D43" s="29">
        <v>57</v>
      </c>
      <c r="E43" s="29">
        <v>57</v>
      </c>
      <c r="F43" s="29">
        <v>51</v>
      </c>
      <c r="G43" s="31">
        <v>63</v>
      </c>
      <c r="H43" s="31">
        <v>38</v>
      </c>
      <c r="I43" s="24"/>
      <c r="J43" s="24"/>
      <c r="K43" s="24"/>
      <c r="L43" s="24"/>
      <c r="M43" s="24"/>
    </row>
    <row r="44" spans="1:13" x14ac:dyDescent="0.3">
      <c r="A44" s="37"/>
      <c r="B44" s="30" t="s">
        <v>172</v>
      </c>
      <c r="C44" s="29">
        <v>3</v>
      </c>
      <c r="D44" s="29">
        <v>1</v>
      </c>
      <c r="E44" s="29">
        <v>1</v>
      </c>
      <c r="F44" s="29">
        <v>4</v>
      </c>
      <c r="G44" s="29">
        <v>0</v>
      </c>
      <c r="H44" s="29">
        <v>5</v>
      </c>
      <c r="I44" s="24"/>
      <c r="J44" s="24"/>
      <c r="K44" s="24"/>
      <c r="L44" s="24"/>
      <c r="M44" s="24"/>
    </row>
    <row r="45" spans="1:13" x14ac:dyDescent="0.3">
      <c r="A45" s="37"/>
      <c r="B45" s="30" t="s">
        <v>173</v>
      </c>
      <c r="C45" s="29">
        <v>49</v>
      </c>
      <c r="D45" s="29">
        <v>58</v>
      </c>
      <c r="E45" s="29">
        <v>58</v>
      </c>
      <c r="F45" s="29">
        <v>55</v>
      </c>
      <c r="G45" s="29">
        <v>63</v>
      </c>
      <c r="H45" s="29">
        <v>43</v>
      </c>
      <c r="I45" s="24"/>
      <c r="J45" s="24"/>
      <c r="K45" s="24"/>
      <c r="L45" s="24"/>
      <c r="M45" s="24"/>
    </row>
    <row r="46" spans="1:13" x14ac:dyDescent="0.3">
      <c r="A46" s="37"/>
      <c r="B46" s="30" t="s">
        <v>174</v>
      </c>
      <c r="C46" s="29">
        <v>136</v>
      </c>
      <c r="D46" s="29">
        <v>136</v>
      </c>
      <c r="E46" s="29">
        <v>136</v>
      </c>
      <c r="F46" s="29">
        <v>136</v>
      </c>
      <c r="G46" s="29">
        <v>136</v>
      </c>
      <c r="H46" s="29">
        <v>136</v>
      </c>
      <c r="I46" s="24"/>
      <c r="J46" s="24"/>
      <c r="K46" s="24"/>
      <c r="L46" s="24"/>
      <c r="M46" s="24"/>
    </row>
    <row r="47" spans="1:13" ht="15" thickBot="1" x14ac:dyDescent="0.35">
      <c r="A47" s="37"/>
      <c r="B47" s="32" t="s">
        <v>175</v>
      </c>
      <c r="C47" s="33">
        <v>5</v>
      </c>
      <c r="D47" s="33">
        <v>5</v>
      </c>
      <c r="E47" s="33">
        <v>5</v>
      </c>
      <c r="F47" s="33">
        <v>5</v>
      </c>
      <c r="G47" s="33">
        <v>5</v>
      </c>
      <c r="H47" s="33">
        <v>5</v>
      </c>
      <c r="I47" s="24"/>
      <c r="J47" s="24"/>
      <c r="K47" s="24"/>
      <c r="L47" s="24"/>
      <c r="M47" s="24"/>
    </row>
    <row r="48" spans="1:13" x14ac:dyDescent="0.3">
      <c r="A48" s="37"/>
      <c r="B48" s="37"/>
      <c r="C48" s="37"/>
      <c r="D48" s="37"/>
      <c r="E48" s="37"/>
      <c r="F48" s="37"/>
      <c r="G48" s="37"/>
      <c r="H48" s="37"/>
    </row>
    <row r="49" spans="1:5" x14ac:dyDescent="0.3">
      <c r="B49" s="1"/>
      <c r="C49" s="1"/>
      <c r="D49" s="1"/>
      <c r="E49" s="1"/>
    </row>
    <row r="50" spans="1:5" ht="43.2" x14ac:dyDescent="0.3">
      <c r="A50" s="26" t="s">
        <v>190</v>
      </c>
      <c r="B50" s="67"/>
      <c r="C50" s="67"/>
      <c r="D50" s="67"/>
      <c r="E50" s="67"/>
    </row>
    <row r="51" spans="1:5" x14ac:dyDescent="0.3">
      <c r="B51" s="24"/>
      <c r="C51" s="24"/>
      <c r="D51" s="24"/>
      <c r="E51" s="24"/>
    </row>
    <row r="52" spans="1:5" x14ac:dyDescent="0.3">
      <c r="B52" s="24"/>
      <c r="C52" s="24"/>
      <c r="D52" s="24"/>
      <c r="E52" s="24"/>
    </row>
    <row r="53" spans="1:5" x14ac:dyDescent="0.3">
      <c r="B53" s="24"/>
      <c r="C53" s="24"/>
      <c r="D53" s="24"/>
      <c r="E53" s="24"/>
    </row>
    <row r="54" spans="1:5" x14ac:dyDescent="0.3">
      <c r="B54" s="24"/>
      <c r="C54" s="24"/>
      <c r="D54" s="24"/>
      <c r="E54" s="24"/>
    </row>
    <row r="55" spans="1:5" x14ac:dyDescent="0.3">
      <c r="B55" s="24"/>
      <c r="C55" s="24"/>
      <c r="D55" s="24"/>
      <c r="E55" s="24"/>
    </row>
    <row r="56" spans="1:5" x14ac:dyDescent="0.3">
      <c r="B56" s="24"/>
      <c r="C56" s="24"/>
      <c r="D56" s="24"/>
      <c r="E56" s="24"/>
    </row>
    <row r="57" spans="1:5" x14ac:dyDescent="0.3">
      <c r="B57" s="24"/>
      <c r="C57" s="24"/>
      <c r="D57" s="24"/>
      <c r="E57" s="24"/>
    </row>
    <row r="58" spans="1:5" x14ac:dyDescent="0.3">
      <c r="B58" s="24"/>
      <c r="C58" s="24"/>
      <c r="D58" s="24"/>
      <c r="E58" s="24"/>
    </row>
    <row r="59" spans="1:5" x14ac:dyDescent="0.3">
      <c r="B59" s="24"/>
      <c r="C59" s="24"/>
      <c r="D59" s="24"/>
      <c r="E59" s="24"/>
    </row>
    <row r="60" spans="1:5" x14ac:dyDescent="0.3">
      <c r="B60" s="24"/>
      <c r="C60" s="24"/>
      <c r="D60" s="24"/>
      <c r="E60" s="24"/>
    </row>
    <row r="61" spans="1:5" x14ac:dyDescent="0.3">
      <c r="B61" s="24"/>
      <c r="C61" s="24"/>
      <c r="D61" s="24"/>
      <c r="E61" s="24"/>
    </row>
    <row r="62" spans="1:5" x14ac:dyDescent="0.3">
      <c r="B62" s="24"/>
      <c r="C62" s="24"/>
      <c r="D62" s="24"/>
      <c r="E62" s="24"/>
    </row>
    <row r="63" spans="1:5" x14ac:dyDescent="0.3">
      <c r="B63" s="24"/>
      <c r="C63" s="24"/>
      <c r="D63" s="24"/>
      <c r="E63" s="24"/>
    </row>
    <row r="64" spans="1:5" x14ac:dyDescent="0.3">
      <c r="B64" s="24"/>
      <c r="C64" s="24"/>
      <c r="D64" s="24"/>
      <c r="E64" s="24"/>
    </row>
    <row r="65" spans="1:5" x14ac:dyDescent="0.3">
      <c r="A65" s="2" t="s">
        <v>192</v>
      </c>
      <c r="B65" s="1"/>
      <c r="C65" s="1"/>
      <c r="D65" s="1"/>
      <c r="E65" s="1"/>
    </row>
  </sheetData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37"/>
  <sheetViews>
    <sheetView topLeftCell="AE1" workbookViewId="0">
      <selection activeCell="O1" sqref="O1:AT81"/>
    </sheetView>
  </sheetViews>
  <sheetFormatPr defaultRowHeight="14.4" x14ac:dyDescent="0.3"/>
  <cols>
    <col min="1" max="1" width="4.88671875" customWidth="1"/>
    <col min="2" max="2" width="7.5546875" customWidth="1"/>
    <col min="3" max="3" width="8.33203125" customWidth="1"/>
    <col min="4" max="4" width="6.33203125" customWidth="1"/>
    <col min="5" max="5" width="7.44140625" customWidth="1"/>
    <col min="6" max="6" width="5.6640625" customWidth="1"/>
    <col min="7" max="7" width="8.6640625" customWidth="1"/>
    <col min="8" max="8" width="9.33203125" customWidth="1"/>
    <col min="9" max="9" width="8.6640625" customWidth="1"/>
    <col min="10" max="10" width="7.33203125" customWidth="1"/>
    <col min="11" max="11" width="7.77734375" customWidth="1"/>
    <col min="12" max="12" width="6.77734375" customWidth="1"/>
    <col min="13" max="14" width="4.77734375" customWidth="1"/>
    <col min="22" max="23" width="4.77734375" customWidth="1"/>
    <col min="31" max="32" width="4.77734375" customWidth="1"/>
    <col min="40" max="41" width="4.77734375" customWidth="1"/>
    <col min="42" max="42" width="23.33203125" customWidth="1"/>
    <col min="43" max="43" width="26.109375" customWidth="1"/>
    <col min="44" max="44" width="18.21875" customWidth="1"/>
    <col min="45" max="45" width="13.33203125" customWidth="1"/>
    <col min="46" max="46" width="13.77734375" customWidth="1"/>
  </cols>
  <sheetData>
    <row r="1" spans="1:46" x14ac:dyDescent="0.3">
      <c r="A1" s="9" t="s">
        <v>96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134</v>
      </c>
      <c r="G1" s="9" t="s">
        <v>140</v>
      </c>
      <c r="H1" s="9" t="s">
        <v>141</v>
      </c>
      <c r="I1" s="9" t="s">
        <v>136</v>
      </c>
      <c r="J1" s="9" t="s">
        <v>137</v>
      </c>
      <c r="K1" s="9" t="s">
        <v>138</v>
      </c>
      <c r="L1" s="9" t="s">
        <v>139</v>
      </c>
      <c r="P1" s="106" t="s">
        <v>194</v>
      </c>
      <c r="Q1" s="106"/>
      <c r="R1" s="106"/>
      <c r="S1" s="106"/>
      <c r="T1" s="106"/>
      <c r="U1" s="106"/>
      <c r="Y1" s="106" t="s">
        <v>201</v>
      </c>
      <c r="Z1" s="106"/>
      <c r="AA1" s="106"/>
      <c r="AB1" s="106"/>
      <c r="AC1" s="106"/>
      <c r="AD1" s="106"/>
      <c r="AH1" s="106" t="s">
        <v>201</v>
      </c>
      <c r="AI1" s="106"/>
      <c r="AJ1" s="106"/>
      <c r="AK1" s="106"/>
      <c r="AL1" s="106"/>
      <c r="AM1" s="106"/>
    </row>
    <row r="2" spans="1:46" ht="15.6" x14ac:dyDescent="0.3">
      <c r="A2">
        <v>3</v>
      </c>
      <c r="B2">
        <v>2</v>
      </c>
      <c r="C2">
        <v>2</v>
      </c>
      <c r="D2">
        <v>2</v>
      </c>
      <c r="E2">
        <v>2</v>
      </c>
      <c r="F2">
        <v>3</v>
      </c>
      <c r="G2">
        <v>3</v>
      </c>
      <c r="H2">
        <v>5</v>
      </c>
      <c r="I2">
        <v>4</v>
      </c>
      <c r="J2">
        <v>3</v>
      </c>
      <c r="K2">
        <v>4</v>
      </c>
      <c r="L2">
        <v>2</v>
      </c>
      <c r="O2" s="11" t="s">
        <v>142</v>
      </c>
      <c r="P2" s="10">
        <v>1</v>
      </c>
      <c r="Q2" s="10">
        <v>2</v>
      </c>
      <c r="R2" s="10">
        <v>3</v>
      </c>
      <c r="S2" s="10">
        <v>4</v>
      </c>
      <c r="T2" s="10">
        <v>5</v>
      </c>
      <c r="U2" s="10"/>
      <c r="V2" s="44"/>
      <c r="X2" s="11" t="s">
        <v>142</v>
      </c>
      <c r="Y2" s="10">
        <v>1</v>
      </c>
      <c r="Z2" s="10">
        <v>2</v>
      </c>
      <c r="AA2" s="10">
        <v>3</v>
      </c>
      <c r="AB2" s="10">
        <v>4</v>
      </c>
      <c r="AC2" s="10">
        <v>5</v>
      </c>
      <c r="AD2" s="10"/>
      <c r="AE2" s="44"/>
      <c r="AG2" s="11" t="s">
        <v>142</v>
      </c>
      <c r="AH2" s="10">
        <v>1</v>
      </c>
      <c r="AI2" s="10">
        <v>2</v>
      </c>
      <c r="AJ2" s="10">
        <v>3</v>
      </c>
      <c r="AK2" s="10">
        <v>4</v>
      </c>
      <c r="AL2" s="10">
        <v>5</v>
      </c>
      <c r="AM2" s="10"/>
      <c r="AN2" s="44"/>
    </row>
    <row r="3" spans="1:46" ht="15.6" x14ac:dyDescent="0.3">
      <c r="A3">
        <v>5</v>
      </c>
      <c r="B3">
        <v>2</v>
      </c>
      <c r="C3">
        <v>3</v>
      </c>
      <c r="D3">
        <v>5</v>
      </c>
      <c r="E3">
        <v>4</v>
      </c>
      <c r="F3">
        <v>2</v>
      </c>
      <c r="G3">
        <v>3</v>
      </c>
      <c r="H3">
        <v>5</v>
      </c>
      <c r="I3">
        <v>4</v>
      </c>
      <c r="J3">
        <v>3</v>
      </c>
      <c r="K3">
        <v>4</v>
      </c>
      <c r="L3">
        <v>3</v>
      </c>
      <c r="O3" s="42">
        <v>1</v>
      </c>
      <c r="P3">
        <f>COUNTIFS($A$2:$A$137,"1",$G$2:$G$137,"1")</f>
        <v>0</v>
      </c>
      <c r="Q3">
        <f>COUNTIFS($A$2:$A$137,"1",$G$2:$G$137,"2")</f>
        <v>0</v>
      </c>
      <c r="R3">
        <f>COUNTIFS($A$2:$A$137,"1",$G$2:$G$137,"3")</f>
        <v>0</v>
      </c>
      <c r="S3">
        <f>COUNTIFS($A$2:$A$137,"1",$G$2:$G$137,"4")</f>
        <v>0</v>
      </c>
      <c r="T3">
        <f>COUNTIFS($A$2:$A$137,"1",$G$2:$G$137,"=5")</f>
        <v>0</v>
      </c>
      <c r="U3" s="43">
        <f>SUM(P3:T3)</f>
        <v>0</v>
      </c>
      <c r="V3" s="43"/>
      <c r="X3" s="42">
        <v>1</v>
      </c>
      <c r="Y3">
        <f t="shared" ref="Y3:Y8" si="0">($U3*P$9)/$U$9</f>
        <v>0</v>
      </c>
      <c r="Z3">
        <f t="shared" ref="Z3:AC8" si="1">($U3*Q$9)/$U$9</f>
        <v>0</v>
      </c>
      <c r="AA3">
        <f t="shared" si="1"/>
        <v>0</v>
      </c>
      <c r="AB3">
        <f t="shared" si="1"/>
        <v>0</v>
      </c>
      <c r="AC3">
        <f t="shared" si="1"/>
        <v>0</v>
      </c>
      <c r="AD3" s="43">
        <f t="shared" ref="AD3:AD9" si="2">SUM(Y3:AC3)</f>
        <v>0</v>
      </c>
      <c r="AE3" s="43"/>
      <c r="AG3" s="42">
        <v>1</v>
      </c>
      <c r="AH3" s="49">
        <v>0</v>
      </c>
      <c r="AI3" s="49">
        <v>0</v>
      </c>
      <c r="AJ3" s="49">
        <v>0</v>
      </c>
      <c r="AK3" s="49">
        <v>0</v>
      </c>
      <c r="AL3" s="49">
        <v>0</v>
      </c>
      <c r="AM3" s="45">
        <f>SUM(AH3:AL3)</f>
        <v>0</v>
      </c>
      <c r="AN3" s="43"/>
      <c r="AP3" s="2" t="s">
        <v>204</v>
      </c>
      <c r="AQ3">
        <v>0.05</v>
      </c>
    </row>
    <row r="4" spans="1:46" ht="15.6" x14ac:dyDescent="0.3">
      <c r="A4">
        <v>3</v>
      </c>
      <c r="B4">
        <v>2</v>
      </c>
      <c r="C4">
        <v>2</v>
      </c>
      <c r="D4">
        <v>3</v>
      </c>
      <c r="E4">
        <v>2</v>
      </c>
      <c r="F4">
        <v>2</v>
      </c>
      <c r="G4">
        <v>2</v>
      </c>
      <c r="H4">
        <v>3</v>
      </c>
      <c r="I4">
        <v>4</v>
      </c>
      <c r="J4">
        <v>3</v>
      </c>
      <c r="K4">
        <v>4</v>
      </c>
      <c r="L4">
        <v>2</v>
      </c>
      <c r="O4" s="42">
        <v>2</v>
      </c>
      <c r="P4">
        <f>COUNTIFS($A$2:$A$137,"2",$G$2:$G$137,"1")</f>
        <v>0</v>
      </c>
      <c r="Q4">
        <f>COUNTIFS($A$2:$A$137,"2",$G$2:$G$137,"2")</f>
        <v>2</v>
      </c>
      <c r="R4">
        <f>COUNTIFS($A$2:$A$137,"2",$G$2:$G$137,"3")</f>
        <v>9</v>
      </c>
      <c r="S4">
        <f>COUNTIFS($A$2:$A$137,"2",$G$2:$G$137,"4")</f>
        <v>10</v>
      </c>
      <c r="T4">
        <f>COUNTIFS($A$2:$A$137,"2",$G$2:$G$137,"5")</f>
        <v>3</v>
      </c>
      <c r="U4" s="43">
        <f t="shared" ref="U4:U9" si="3">SUM(P4:T4)</f>
        <v>24</v>
      </c>
      <c r="V4" s="43"/>
      <c r="X4" s="42">
        <v>2</v>
      </c>
      <c r="Y4">
        <f t="shared" si="0"/>
        <v>0.52941176470588236</v>
      </c>
      <c r="Z4">
        <f t="shared" si="1"/>
        <v>2.6470588235294117</v>
      </c>
      <c r="AA4">
        <f t="shared" si="1"/>
        <v>7.7647058823529411</v>
      </c>
      <c r="AB4">
        <f t="shared" si="1"/>
        <v>8.6470588235294112</v>
      </c>
      <c r="AC4">
        <f t="shared" si="1"/>
        <v>4.4117647058823533</v>
      </c>
      <c r="AD4" s="43">
        <f t="shared" si="2"/>
        <v>24</v>
      </c>
      <c r="AE4" s="43"/>
      <c r="AG4" s="42">
        <v>2</v>
      </c>
      <c r="AH4">
        <f>((P4-Y4)^2)/Y4</f>
        <v>0.52941176470588236</v>
      </c>
      <c r="AI4">
        <f t="shared" ref="AI4:AL8" si="4">((Q4-Z4)^2)/Z4</f>
        <v>0.15816993464052284</v>
      </c>
      <c r="AJ4">
        <f t="shared" si="4"/>
        <v>0.196524064171123</v>
      </c>
      <c r="AK4">
        <f t="shared" si="4"/>
        <v>0.21168467386954801</v>
      </c>
      <c r="AL4">
        <f t="shared" si="4"/>
        <v>0.45176470588235307</v>
      </c>
      <c r="AM4" s="45">
        <f t="shared" ref="AM4:AM9" si="5">SUM(AH4:AL4)</f>
        <v>1.5475551432694292</v>
      </c>
      <c r="AN4" s="43"/>
      <c r="AP4" s="2" t="s">
        <v>205</v>
      </c>
      <c r="AQ4">
        <f>5*4</f>
        <v>20</v>
      </c>
    </row>
    <row r="5" spans="1:46" ht="15.6" x14ac:dyDescent="0.3">
      <c r="A5">
        <v>5</v>
      </c>
      <c r="B5">
        <v>2</v>
      </c>
      <c r="C5">
        <v>3</v>
      </c>
      <c r="D5">
        <v>5</v>
      </c>
      <c r="E5">
        <v>4</v>
      </c>
      <c r="F5">
        <v>2</v>
      </c>
      <c r="G5">
        <v>3</v>
      </c>
      <c r="H5">
        <v>3</v>
      </c>
      <c r="I5">
        <v>5</v>
      </c>
      <c r="J5">
        <v>3</v>
      </c>
      <c r="K5">
        <v>3</v>
      </c>
      <c r="L5">
        <v>3</v>
      </c>
      <c r="O5" s="42">
        <v>3</v>
      </c>
      <c r="P5">
        <f>COUNTIFS($A$2:$A$137,"3",$G$2:$G$137,"1")</f>
        <v>2</v>
      </c>
      <c r="Q5">
        <f>COUNTIFS($A$2:$A$137,"3",$G$2:$G$137,"2")</f>
        <v>7</v>
      </c>
      <c r="R5">
        <f>COUNTIFS($A$2:$A$137,"3",$G$2:$G$137,"3")</f>
        <v>15</v>
      </c>
      <c r="S5">
        <f>COUNTIFS($A$2:$A$137,"3",$G$2:$G$137,"4")</f>
        <v>13</v>
      </c>
      <c r="T5">
        <f>COUNTIFS($A$2:$A$137,"3",$G$2:$G$137,"5")</f>
        <v>8</v>
      </c>
      <c r="U5" s="43">
        <f t="shared" si="3"/>
        <v>45</v>
      </c>
      <c r="V5" s="43"/>
      <c r="X5" s="42">
        <v>3</v>
      </c>
      <c r="Y5">
        <f t="shared" si="0"/>
        <v>0.99264705882352944</v>
      </c>
      <c r="Z5">
        <f t="shared" si="1"/>
        <v>4.9632352941176467</v>
      </c>
      <c r="AA5">
        <f t="shared" si="1"/>
        <v>14.558823529411764</v>
      </c>
      <c r="AB5">
        <f t="shared" si="1"/>
        <v>16.213235294117649</v>
      </c>
      <c r="AC5">
        <f t="shared" si="1"/>
        <v>8.2720588235294112</v>
      </c>
      <c r="AD5" s="43">
        <f t="shared" si="2"/>
        <v>45.000000000000007</v>
      </c>
      <c r="AE5" s="43"/>
      <c r="AG5" s="42">
        <v>3</v>
      </c>
      <c r="AH5">
        <f>((P5-Y5)^2)/Y5</f>
        <v>1.0222766884531591</v>
      </c>
      <c r="AI5">
        <f t="shared" si="4"/>
        <v>0.83582788671023989</v>
      </c>
      <c r="AJ5">
        <f t="shared" si="4"/>
        <v>1.3368983957219263E-2</v>
      </c>
      <c r="AK5">
        <f t="shared" si="4"/>
        <v>0.63681806055755685</v>
      </c>
      <c r="AL5">
        <f t="shared" si="4"/>
        <v>8.9477124183006199E-3</v>
      </c>
      <c r="AM5" s="45">
        <f t="shared" si="5"/>
        <v>2.5172393320964761</v>
      </c>
      <c r="AN5" s="43"/>
      <c r="AP5" s="2" t="s">
        <v>202</v>
      </c>
      <c r="AQ5" s="45">
        <f>SUM(AH3:AL8)</f>
        <v>12.159776267846771</v>
      </c>
    </row>
    <row r="6" spans="1:46" ht="15.6" x14ac:dyDescent="0.3">
      <c r="A6">
        <v>5</v>
      </c>
      <c r="B6">
        <v>2</v>
      </c>
      <c r="C6">
        <v>3</v>
      </c>
      <c r="D6">
        <v>5</v>
      </c>
      <c r="E6">
        <v>4</v>
      </c>
      <c r="F6">
        <v>1</v>
      </c>
      <c r="G6">
        <v>3</v>
      </c>
      <c r="H6">
        <v>4</v>
      </c>
      <c r="I6">
        <v>3</v>
      </c>
      <c r="J6">
        <v>3</v>
      </c>
      <c r="K6">
        <v>3</v>
      </c>
      <c r="L6">
        <v>3</v>
      </c>
      <c r="O6" s="42">
        <v>4</v>
      </c>
      <c r="P6">
        <f>COUNTIFS($A$2:$A$137,"4",$G$2:$G$137,"1")</f>
        <v>1</v>
      </c>
      <c r="Q6">
        <f>COUNTIFS($A$2:$A$137,"4",$G$2:$G$137,"2")</f>
        <v>3</v>
      </c>
      <c r="R6">
        <f>COUNTIFS($A$2:$A$137,"4",$G$2:$G$137,"3")</f>
        <v>9</v>
      </c>
      <c r="S6">
        <f>COUNTIFS($A$2:$A$137,"4",$G$2:$G$137,"4")</f>
        <v>5</v>
      </c>
      <c r="T6">
        <f>COUNTIFS($A$2:$A$137,"4",$G$2:$G$137,"5")</f>
        <v>4</v>
      </c>
      <c r="U6" s="43">
        <f t="shared" si="3"/>
        <v>22</v>
      </c>
      <c r="V6" s="43"/>
      <c r="X6" s="42">
        <v>4</v>
      </c>
      <c r="Y6">
        <f t="shared" si="0"/>
        <v>0.48529411764705882</v>
      </c>
      <c r="Z6">
        <f t="shared" si="1"/>
        <v>2.4264705882352939</v>
      </c>
      <c r="AA6">
        <f t="shared" si="1"/>
        <v>7.117647058823529</v>
      </c>
      <c r="AB6">
        <f t="shared" si="1"/>
        <v>7.9264705882352944</v>
      </c>
      <c r="AC6">
        <f t="shared" si="1"/>
        <v>4.0441176470588234</v>
      </c>
      <c r="AD6" s="43">
        <f t="shared" si="2"/>
        <v>22</v>
      </c>
      <c r="AE6" s="43"/>
      <c r="AG6" s="42">
        <v>4</v>
      </c>
      <c r="AH6">
        <f>((P6-Y6)^2)/Y6</f>
        <v>0.54590017825311932</v>
      </c>
      <c r="AI6">
        <f t="shared" si="4"/>
        <v>0.13556149732620329</v>
      </c>
      <c r="AJ6">
        <f t="shared" si="4"/>
        <v>0.49781234807972802</v>
      </c>
      <c r="AK6">
        <f t="shared" si="4"/>
        <v>1.0804594565098768</v>
      </c>
      <c r="AL6">
        <f t="shared" si="4"/>
        <v>4.8128342245988965E-4</v>
      </c>
      <c r="AM6" s="45">
        <f t="shared" si="5"/>
        <v>2.2602147635913874</v>
      </c>
      <c r="AN6" s="43"/>
      <c r="AP6" s="2" t="s">
        <v>203</v>
      </c>
      <c r="AQ6" s="50">
        <v>31.41</v>
      </c>
    </row>
    <row r="7" spans="1:46" ht="15.6" x14ac:dyDescent="0.3">
      <c r="A7">
        <v>3</v>
      </c>
      <c r="B7">
        <v>2</v>
      </c>
      <c r="C7">
        <v>2</v>
      </c>
      <c r="D7">
        <v>2</v>
      </c>
      <c r="E7">
        <v>2</v>
      </c>
      <c r="F7">
        <v>2</v>
      </c>
      <c r="G7">
        <v>3</v>
      </c>
      <c r="H7">
        <v>4</v>
      </c>
      <c r="I7">
        <v>5</v>
      </c>
      <c r="J7">
        <v>5</v>
      </c>
      <c r="K7">
        <v>2</v>
      </c>
      <c r="L7">
        <v>3</v>
      </c>
      <c r="O7" s="42">
        <v>5</v>
      </c>
      <c r="P7">
        <f>COUNTIFS($A$2:$A$137,"5",$G$2:$G$137,"1")</f>
        <v>0</v>
      </c>
      <c r="Q7">
        <f>COUNTIFS($A$2:$A$137,"5",$G$2:$G$137,"2")</f>
        <v>2</v>
      </c>
      <c r="R7">
        <f>COUNTIFS($A$2:$A$137,"5",$G$2:$G$137,"3")</f>
        <v>10</v>
      </c>
      <c r="S7">
        <f>COUNTIFS($A$2:$A$137,"5",$G$2:$G$137,"4")</f>
        <v>16</v>
      </c>
      <c r="T7">
        <f>COUNTIFS($A$2:$A$137,"5",$G$2:$G$137,"5")</f>
        <v>7</v>
      </c>
      <c r="U7" s="43">
        <f t="shared" si="3"/>
        <v>35</v>
      </c>
      <c r="V7" s="43"/>
      <c r="X7" s="42">
        <v>5</v>
      </c>
      <c r="Y7">
        <f t="shared" si="0"/>
        <v>0.7720588235294118</v>
      </c>
      <c r="Z7">
        <f t="shared" si="1"/>
        <v>3.8602941176470589</v>
      </c>
      <c r="AA7">
        <f t="shared" si="1"/>
        <v>11.323529411764707</v>
      </c>
      <c r="AB7">
        <f t="shared" si="1"/>
        <v>12.610294117647058</v>
      </c>
      <c r="AC7">
        <f t="shared" si="1"/>
        <v>6.4338235294117645</v>
      </c>
      <c r="AD7" s="43">
        <f t="shared" si="2"/>
        <v>35</v>
      </c>
      <c r="AE7" s="43"/>
      <c r="AG7" s="42">
        <v>5</v>
      </c>
      <c r="AH7">
        <f>((P7-Y7)^2)/Y7</f>
        <v>0.7720588235294118</v>
      </c>
      <c r="AI7">
        <f t="shared" si="4"/>
        <v>0.89648459383753509</v>
      </c>
      <c r="AJ7">
        <f t="shared" si="4"/>
        <v>0.15469824293353721</v>
      </c>
      <c r="AK7">
        <f t="shared" si="4"/>
        <v>0.91116875321557245</v>
      </c>
      <c r="AL7">
        <f t="shared" si="4"/>
        <v>4.9823529411764746E-2</v>
      </c>
      <c r="AM7" s="45">
        <f t="shared" si="5"/>
        <v>2.7842339429278211</v>
      </c>
      <c r="AN7" s="43"/>
      <c r="AP7" s="2" t="s">
        <v>206</v>
      </c>
      <c r="AQ7">
        <f>_xlfn.CHISQ.DIST.RT(AQ5,AQ4)</f>
        <v>0.91046679027372246</v>
      </c>
      <c r="AR7" t="s">
        <v>207</v>
      </c>
    </row>
    <row r="8" spans="1:46" ht="36" x14ac:dyDescent="0.3">
      <c r="A8">
        <v>5</v>
      </c>
      <c r="B8">
        <v>2</v>
      </c>
      <c r="C8">
        <v>2</v>
      </c>
      <c r="D8">
        <v>5</v>
      </c>
      <c r="E8">
        <v>2</v>
      </c>
      <c r="F8">
        <v>2</v>
      </c>
      <c r="G8">
        <v>4</v>
      </c>
      <c r="H8">
        <v>4</v>
      </c>
      <c r="I8">
        <v>5</v>
      </c>
      <c r="J8">
        <v>4</v>
      </c>
      <c r="K8">
        <v>4</v>
      </c>
      <c r="L8">
        <v>5</v>
      </c>
      <c r="O8" s="42">
        <v>6</v>
      </c>
      <c r="P8">
        <f>COUNTIFS($A$2:$A$137,"6",$G$2:$G$137,"1")</f>
        <v>0</v>
      </c>
      <c r="Q8">
        <f>COUNTIFS($A$2:$A$137,"6",$G$2:$G$137,"2")</f>
        <v>1</v>
      </c>
      <c r="R8">
        <f>COUNTIFS($A$2:$A$137,"6",$G$2:$G$137,"3")</f>
        <v>1</v>
      </c>
      <c r="S8">
        <f>COUNTIFS($A$2:$A$137,"6",$G$2:$G$137,"4")</f>
        <v>5</v>
      </c>
      <c r="T8">
        <f>COUNTIFS($A$2:$A$137,"6",$G$2:$G$137,"5")</f>
        <v>3</v>
      </c>
      <c r="U8" s="43">
        <f t="shared" si="3"/>
        <v>10</v>
      </c>
      <c r="V8" s="43"/>
      <c r="X8" s="42">
        <v>6</v>
      </c>
      <c r="Y8">
        <f t="shared" si="0"/>
        <v>0.22058823529411764</v>
      </c>
      <c r="Z8">
        <f t="shared" si="1"/>
        <v>1.1029411764705883</v>
      </c>
      <c r="AA8">
        <f t="shared" si="1"/>
        <v>3.2352941176470589</v>
      </c>
      <c r="AB8">
        <f t="shared" si="1"/>
        <v>3.6029411764705883</v>
      </c>
      <c r="AC8">
        <f t="shared" si="1"/>
        <v>1.838235294117647</v>
      </c>
      <c r="AD8" s="43">
        <f t="shared" si="2"/>
        <v>10</v>
      </c>
      <c r="AE8" s="43"/>
      <c r="AG8" s="42">
        <v>6</v>
      </c>
      <c r="AH8">
        <f>((P8-Y8)^2)/Y8</f>
        <v>0.22058823529411764</v>
      </c>
      <c r="AI8">
        <f t="shared" si="4"/>
        <v>9.6078431372549171E-3</v>
      </c>
      <c r="AJ8">
        <f t="shared" si="4"/>
        <v>1.544385026737968</v>
      </c>
      <c r="AK8">
        <f t="shared" si="4"/>
        <v>0.54171668667466977</v>
      </c>
      <c r="AL8">
        <f t="shared" si="4"/>
        <v>0.73423529411764721</v>
      </c>
      <c r="AM8" s="45">
        <f t="shared" si="5"/>
        <v>3.0505330859616575</v>
      </c>
      <c r="AN8" s="43"/>
      <c r="AP8" s="88" t="s">
        <v>316</v>
      </c>
    </row>
    <row r="9" spans="1:46" ht="18" x14ac:dyDescent="0.35">
      <c r="A9">
        <v>6</v>
      </c>
      <c r="B9">
        <v>2</v>
      </c>
      <c r="C9">
        <v>2</v>
      </c>
      <c r="D9">
        <v>5</v>
      </c>
      <c r="E9">
        <v>3</v>
      </c>
      <c r="F9">
        <v>2</v>
      </c>
      <c r="G9">
        <v>4</v>
      </c>
      <c r="H9">
        <v>4</v>
      </c>
      <c r="I9">
        <v>5</v>
      </c>
      <c r="J9">
        <v>3</v>
      </c>
      <c r="K9">
        <v>4</v>
      </c>
      <c r="L9">
        <v>3</v>
      </c>
      <c r="P9" s="43">
        <f>SUM(P3:P8)</f>
        <v>3</v>
      </c>
      <c r="Q9" s="43">
        <f>SUM(Q3:Q8)</f>
        <v>15</v>
      </c>
      <c r="R9" s="43">
        <f>SUM(R3:R8)</f>
        <v>44</v>
      </c>
      <c r="S9" s="43">
        <f>SUM(S3:S8)</f>
        <v>49</v>
      </c>
      <c r="T9" s="43">
        <f>SUM(T3:T8)</f>
        <v>25</v>
      </c>
      <c r="U9" s="43">
        <f t="shared" si="3"/>
        <v>136</v>
      </c>
      <c r="V9" s="46"/>
      <c r="Y9" s="43">
        <f>SUM(Y3:Y8)</f>
        <v>3</v>
      </c>
      <c r="Z9" s="43">
        <f>SUM(Z3:Z8)</f>
        <v>14.999999999999998</v>
      </c>
      <c r="AA9" s="43">
        <f>SUM(AA3:AA8)</f>
        <v>44</v>
      </c>
      <c r="AB9" s="43">
        <f>SUM(AB3:AB8)</f>
        <v>49</v>
      </c>
      <c r="AC9" s="43">
        <f>SUM(AC3:AC8)</f>
        <v>25</v>
      </c>
      <c r="AD9" s="43">
        <f t="shared" si="2"/>
        <v>136</v>
      </c>
      <c r="AE9" s="46"/>
      <c r="AH9" s="43">
        <f>SUM(AH3:AH8)</f>
        <v>3.0902356902356902</v>
      </c>
      <c r="AI9" s="43">
        <f>SUM(AI3:AI8)</f>
        <v>2.0356517556517564</v>
      </c>
      <c r="AJ9" s="43">
        <f>SUM(AJ3:AJ8)</f>
        <v>2.4067886658795752</v>
      </c>
      <c r="AK9" s="43">
        <f>SUM(AK3:AK8)</f>
        <v>3.3818476308272238</v>
      </c>
      <c r="AL9" s="43">
        <f>SUM(AL3:AL8)</f>
        <v>1.2452525252525255</v>
      </c>
      <c r="AM9" s="45">
        <f t="shared" si="5"/>
        <v>12.15977626784677</v>
      </c>
      <c r="AN9" s="46"/>
      <c r="AP9" s="2" t="s">
        <v>309</v>
      </c>
      <c r="AQ9" s="3">
        <v>136</v>
      </c>
    </row>
    <row r="10" spans="1:46" x14ac:dyDescent="0.3">
      <c r="A10">
        <v>6</v>
      </c>
      <c r="B10">
        <v>2</v>
      </c>
      <c r="C10">
        <v>1</v>
      </c>
      <c r="D10">
        <v>5</v>
      </c>
      <c r="E10">
        <v>2</v>
      </c>
      <c r="F10">
        <v>1</v>
      </c>
      <c r="G10">
        <v>4</v>
      </c>
      <c r="H10">
        <v>3</v>
      </c>
      <c r="I10">
        <v>4</v>
      </c>
      <c r="J10">
        <v>2</v>
      </c>
      <c r="K10">
        <v>4</v>
      </c>
      <c r="L10">
        <v>3</v>
      </c>
      <c r="AP10" s="2" t="s">
        <v>310</v>
      </c>
      <c r="AQ10" s="3">
        <f>5-1</f>
        <v>4</v>
      </c>
    </row>
    <row r="11" spans="1:46" x14ac:dyDescent="0.3">
      <c r="A11">
        <v>5</v>
      </c>
      <c r="B11">
        <v>2</v>
      </c>
      <c r="C11">
        <v>2</v>
      </c>
      <c r="D11">
        <v>5</v>
      </c>
      <c r="E11">
        <v>4</v>
      </c>
      <c r="F11">
        <v>2</v>
      </c>
      <c r="G11">
        <v>3</v>
      </c>
      <c r="H11">
        <v>4</v>
      </c>
      <c r="I11">
        <v>4</v>
      </c>
      <c r="J11">
        <v>3</v>
      </c>
      <c r="K11">
        <v>4</v>
      </c>
      <c r="L11">
        <v>4</v>
      </c>
      <c r="AP11" s="2" t="s">
        <v>300</v>
      </c>
      <c r="AQ11" t="s">
        <v>308</v>
      </c>
      <c r="AR11" t="s">
        <v>301</v>
      </c>
      <c r="AS11" t="s">
        <v>302</v>
      </c>
      <c r="AT11" t="s">
        <v>303</v>
      </c>
    </row>
    <row r="12" spans="1:46" ht="15.6" x14ac:dyDescent="0.3">
      <c r="A12">
        <v>3</v>
      </c>
      <c r="B12">
        <v>2</v>
      </c>
      <c r="C12">
        <v>2</v>
      </c>
      <c r="D12">
        <v>3</v>
      </c>
      <c r="E12">
        <v>2</v>
      </c>
      <c r="F12">
        <v>2</v>
      </c>
      <c r="G12">
        <v>4</v>
      </c>
      <c r="H12">
        <v>5</v>
      </c>
      <c r="I12">
        <v>4</v>
      </c>
      <c r="J12">
        <v>4</v>
      </c>
      <c r="K12">
        <v>4</v>
      </c>
      <c r="L12">
        <v>5</v>
      </c>
      <c r="AP12" s="2" t="s">
        <v>304</v>
      </c>
      <c r="AQ12" s="73" t="s">
        <v>307</v>
      </c>
      <c r="AR12" s="73" t="s">
        <v>306</v>
      </c>
      <c r="AS12" s="73" t="s">
        <v>305</v>
      </c>
    </row>
    <row r="13" spans="1:46" ht="15.6" x14ac:dyDescent="0.3">
      <c r="A13">
        <v>4</v>
      </c>
      <c r="B13">
        <v>2</v>
      </c>
      <c r="C13">
        <v>1</v>
      </c>
      <c r="D13">
        <v>2</v>
      </c>
      <c r="E13">
        <v>1</v>
      </c>
      <c r="F13">
        <v>3</v>
      </c>
      <c r="G13">
        <v>5</v>
      </c>
      <c r="H13">
        <v>5</v>
      </c>
      <c r="I13">
        <v>5</v>
      </c>
      <c r="J13">
        <v>3</v>
      </c>
      <c r="K13">
        <v>5</v>
      </c>
      <c r="L13">
        <v>2</v>
      </c>
      <c r="AP13" s="2" t="s">
        <v>299</v>
      </c>
      <c r="AQ13" s="50">
        <f>SQRT(AQ5/($AQ$9*$AQ$10))</f>
        <v>0.14950762490297975</v>
      </c>
      <c r="AR13" s="75" t="s">
        <v>311</v>
      </c>
    </row>
    <row r="14" spans="1:46" x14ac:dyDescent="0.3">
      <c r="A14">
        <v>4</v>
      </c>
      <c r="B14">
        <v>2</v>
      </c>
      <c r="C14">
        <v>2</v>
      </c>
      <c r="D14">
        <v>2</v>
      </c>
      <c r="E14">
        <v>3</v>
      </c>
      <c r="F14">
        <v>2</v>
      </c>
      <c r="G14">
        <v>5</v>
      </c>
      <c r="H14">
        <v>5</v>
      </c>
      <c r="I14">
        <v>4</v>
      </c>
      <c r="J14">
        <v>4</v>
      </c>
      <c r="K14">
        <v>3</v>
      </c>
      <c r="L14">
        <v>3</v>
      </c>
    </row>
    <row r="15" spans="1:46" x14ac:dyDescent="0.3">
      <c r="A15">
        <v>4</v>
      </c>
      <c r="B15">
        <v>2</v>
      </c>
      <c r="C15">
        <v>1</v>
      </c>
      <c r="D15">
        <v>1</v>
      </c>
      <c r="E15">
        <v>1</v>
      </c>
      <c r="F15">
        <v>2</v>
      </c>
      <c r="G15">
        <v>3</v>
      </c>
      <c r="H15">
        <v>2</v>
      </c>
      <c r="I15">
        <v>4</v>
      </c>
      <c r="J15">
        <v>2</v>
      </c>
      <c r="K15">
        <v>3</v>
      </c>
      <c r="L15">
        <v>2</v>
      </c>
      <c r="P15" s="106" t="s">
        <v>193</v>
      </c>
      <c r="Q15" s="106"/>
      <c r="R15" s="106"/>
      <c r="S15" s="106"/>
      <c r="T15" s="106"/>
      <c r="U15" s="106"/>
      <c r="Y15" s="106" t="s">
        <v>209</v>
      </c>
      <c r="Z15" s="106"/>
      <c r="AA15" s="106"/>
      <c r="AB15" s="106"/>
      <c r="AC15" s="106"/>
      <c r="AD15" s="106"/>
      <c r="AG15" s="106" t="s">
        <v>209</v>
      </c>
      <c r="AH15" s="106"/>
      <c r="AI15" s="106"/>
      <c r="AJ15" s="106"/>
      <c r="AK15" s="106"/>
      <c r="AL15" s="106"/>
      <c r="AM15" s="106"/>
    </row>
    <row r="16" spans="1:46" ht="15.6" x14ac:dyDescent="0.3">
      <c r="A16">
        <v>5</v>
      </c>
      <c r="B16">
        <v>2</v>
      </c>
      <c r="C16">
        <v>1</v>
      </c>
      <c r="D16">
        <v>5</v>
      </c>
      <c r="E16">
        <v>1</v>
      </c>
      <c r="F16">
        <v>2</v>
      </c>
      <c r="G16">
        <v>3</v>
      </c>
      <c r="H16">
        <v>5</v>
      </c>
      <c r="I16">
        <v>4</v>
      </c>
      <c r="J16">
        <v>3</v>
      </c>
      <c r="K16">
        <v>4</v>
      </c>
      <c r="L16">
        <v>2</v>
      </c>
      <c r="O16" s="11" t="s">
        <v>142</v>
      </c>
      <c r="P16" s="10">
        <v>1</v>
      </c>
      <c r="Q16" s="10">
        <v>2</v>
      </c>
      <c r="R16" s="10">
        <v>3</v>
      </c>
      <c r="S16" s="10">
        <v>4</v>
      </c>
      <c r="T16" s="10">
        <v>5</v>
      </c>
      <c r="U16" s="10"/>
      <c r="V16" s="44"/>
      <c r="X16" s="11" t="s">
        <v>142</v>
      </c>
      <c r="Y16" s="10">
        <v>1</v>
      </c>
      <c r="Z16" s="10">
        <v>2</v>
      </c>
      <c r="AA16" s="10">
        <v>3</v>
      </c>
      <c r="AB16" s="10">
        <v>4</v>
      </c>
      <c r="AC16" s="10">
        <v>5</v>
      </c>
      <c r="AD16" s="10"/>
      <c r="AE16" s="52"/>
      <c r="AG16" s="11" t="s">
        <v>142</v>
      </c>
      <c r="AH16" s="10">
        <v>1</v>
      </c>
      <c r="AI16" s="10">
        <v>2</v>
      </c>
      <c r="AJ16" s="10">
        <v>3</v>
      </c>
      <c r="AK16" s="10">
        <v>4</v>
      </c>
      <c r="AL16" s="10">
        <v>5</v>
      </c>
      <c r="AM16" s="10"/>
    </row>
    <row r="17" spans="1:44" ht="15.6" x14ac:dyDescent="0.3">
      <c r="A17">
        <v>3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  <c r="I17">
        <v>4</v>
      </c>
      <c r="J17">
        <v>2</v>
      </c>
      <c r="K17">
        <v>2</v>
      </c>
      <c r="L17">
        <v>2</v>
      </c>
      <c r="O17" s="42">
        <v>1</v>
      </c>
      <c r="P17">
        <f>COUNTIFS($A$2:$A$137,"1",$H$2:$H$137,"1")</f>
        <v>0</v>
      </c>
      <c r="Q17">
        <f>COUNTIFS($A$2:$A$137,"1",$H$2:$H$137,"2")</f>
        <v>0</v>
      </c>
      <c r="R17">
        <f>COUNTIFS($A$2:$A$137,"1",$H$2:$H$137,"3")</f>
        <v>0</v>
      </c>
      <c r="S17">
        <f>COUNTIFS($A$2:$A$137,"1",$H$2:$H$137,"4")</f>
        <v>0</v>
      </c>
      <c r="T17">
        <f>COUNTIFS($A$2:$A$137,"1",$H$2:$H$137,"=5")</f>
        <v>0</v>
      </c>
      <c r="U17" s="43">
        <f>SUM(P17:T17)</f>
        <v>0</v>
      </c>
      <c r="V17" s="43"/>
      <c r="X17" s="42">
        <v>1</v>
      </c>
      <c r="Y17">
        <f t="shared" ref="Y17:AC22" si="6">$U17*P$23/$U$23</f>
        <v>0</v>
      </c>
      <c r="Z17">
        <f t="shared" si="6"/>
        <v>0</v>
      </c>
      <c r="AA17">
        <f t="shared" si="6"/>
        <v>0</v>
      </c>
      <c r="AB17">
        <f t="shared" si="6"/>
        <v>0</v>
      </c>
      <c r="AC17">
        <f t="shared" si="6"/>
        <v>0</v>
      </c>
      <c r="AD17" s="43">
        <f>SUM(Y17:AC17)</f>
        <v>0</v>
      </c>
      <c r="AE17" s="43"/>
      <c r="AG17" s="42">
        <v>1</v>
      </c>
      <c r="AH17" s="49">
        <v>0</v>
      </c>
      <c r="AI17" s="49">
        <v>0</v>
      </c>
      <c r="AJ17" s="49">
        <v>0</v>
      </c>
      <c r="AK17" s="49">
        <v>0</v>
      </c>
      <c r="AL17" s="49">
        <v>0</v>
      </c>
      <c r="AM17" s="45">
        <f>SUM(AH17:AL17)</f>
        <v>0</v>
      </c>
      <c r="AN17" s="44"/>
    </row>
    <row r="18" spans="1:44" ht="15.6" x14ac:dyDescent="0.3">
      <c r="A18">
        <v>5</v>
      </c>
      <c r="B18">
        <v>2</v>
      </c>
      <c r="C18">
        <v>2</v>
      </c>
      <c r="D18">
        <v>4</v>
      </c>
      <c r="E18">
        <v>2</v>
      </c>
      <c r="F18">
        <v>1</v>
      </c>
      <c r="G18">
        <v>5</v>
      </c>
      <c r="H18">
        <v>3</v>
      </c>
      <c r="I18">
        <v>4</v>
      </c>
      <c r="J18">
        <v>3</v>
      </c>
      <c r="K18">
        <v>2</v>
      </c>
      <c r="L18">
        <v>1</v>
      </c>
      <c r="O18" s="42">
        <v>2</v>
      </c>
      <c r="P18">
        <f>COUNTIFS($A$2:$A$137,"2",$G$2:$G$137,"1")</f>
        <v>0</v>
      </c>
      <c r="Q18">
        <f>COUNTIFS($A$2:$A$137,"2",$H$2:$H$137,"2")</f>
        <v>1</v>
      </c>
      <c r="R18">
        <f>COUNTIFS($A$2:$A$137,"2",$H$2:$H$137,"3")</f>
        <v>2</v>
      </c>
      <c r="S18">
        <f>COUNTIFS($A$2:$A$137,"2",$H$2:$H$137,"4")</f>
        <v>9</v>
      </c>
      <c r="T18">
        <f>COUNTIFS($A$2:$A$137,"2",$H$2:$H$137,"5")</f>
        <v>12</v>
      </c>
      <c r="U18" s="43">
        <f t="shared" ref="U18:U23" si="7">SUM(P18:T18)</f>
        <v>24</v>
      </c>
      <c r="V18" s="43"/>
      <c r="X18" s="42">
        <v>2</v>
      </c>
      <c r="Y18">
        <f t="shared" si="6"/>
        <v>0.17647058823529413</v>
      </c>
      <c r="Z18">
        <f t="shared" si="6"/>
        <v>1.411764705882353</v>
      </c>
      <c r="AA18">
        <f t="shared" si="6"/>
        <v>2.2941176470588234</v>
      </c>
      <c r="AB18">
        <f t="shared" si="6"/>
        <v>10.235294117647058</v>
      </c>
      <c r="AC18">
        <f t="shared" si="6"/>
        <v>9.882352941176471</v>
      </c>
      <c r="AD18" s="43">
        <f t="shared" ref="AD18:AD23" si="8">SUM(Y18:AC18)</f>
        <v>24</v>
      </c>
      <c r="AE18" s="43"/>
      <c r="AG18" s="42">
        <v>2</v>
      </c>
      <c r="AH18">
        <f t="shared" ref="AH18:AL22" si="9">(P18-Y18)^2/Y18</f>
        <v>0.17647058823529413</v>
      </c>
      <c r="AI18">
        <f t="shared" si="9"/>
        <v>0.12009803921568632</v>
      </c>
      <c r="AJ18">
        <f t="shared" si="9"/>
        <v>3.7707390648567082E-2</v>
      </c>
      <c r="AK18">
        <f t="shared" si="9"/>
        <v>0.14908722109533448</v>
      </c>
      <c r="AL18">
        <f t="shared" si="9"/>
        <v>0.45378151260504185</v>
      </c>
      <c r="AM18" s="45">
        <f t="shared" ref="AM18:AM23" si="10">SUM(AH18:AL18)</f>
        <v>0.93714475179992385</v>
      </c>
      <c r="AN18" s="43"/>
      <c r="AP18" s="2" t="s">
        <v>204</v>
      </c>
      <c r="AQ18">
        <v>0.05</v>
      </c>
    </row>
    <row r="19" spans="1:44" ht="15.6" x14ac:dyDescent="0.3">
      <c r="A19">
        <v>4</v>
      </c>
      <c r="B19">
        <v>2</v>
      </c>
      <c r="C19">
        <v>3</v>
      </c>
      <c r="D19">
        <v>3</v>
      </c>
      <c r="E19">
        <v>4</v>
      </c>
      <c r="F19">
        <v>2</v>
      </c>
      <c r="G19">
        <v>3</v>
      </c>
      <c r="H19">
        <v>4</v>
      </c>
      <c r="I19">
        <v>5</v>
      </c>
      <c r="J19">
        <v>4</v>
      </c>
      <c r="K19">
        <v>5</v>
      </c>
      <c r="L19">
        <v>4</v>
      </c>
      <c r="O19" s="42">
        <v>3</v>
      </c>
      <c r="P19">
        <f>COUNTIFS($A$2:$A$137,"3",$H$2:$H$137,"1")</f>
        <v>0</v>
      </c>
      <c r="Q19">
        <f>COUNTIFS($A$2:$A$137,"3",$H$2:$H$137,"2")</f>
        <v>3</v>
      </c>
      <c r="R19">
        <f>COUNTIFS($A$2:$A$137,"3",$H$2:$H$137,"3")</f>
        <v>5</v>
      </c>
      <c r="S19">
        <f>COUNTIFS($A$2:$A$137,"3",$H$2:$H$137,"4")</f>
        <v>15</v>
      </c>
      <c r="T19">
        <f>COUNTIFS($A$2:$A$137,"3",$H$2:$H$137,"5")</f>
        <v>22</v>
      </c>
      <c r="U19" s="43">
        <f t="shared" si="7"/>
        <v>45</v>
      </c>
      <c r="V19" s="43"/>
      <c r="X19" s="42">
        <v>3</v>
      </c>
      <c r="Y19">
        <f t="shared" si="6"/>
        <v>0.33088235294117646</v>
      </c>
      <c r="Z19">
        <f t="shared" si="6"/>
        <v>2.6470588235294117</v>
      </c>
      <c r="AA19">
        <f t="shared" si="6"/>
        <v>4.3014705882352944</v>
      </c>
      <c r="AB19">
        <f t="shared" si="6"/>
        <v>19.191176470588236</v>
      </c>
      <c r="AC19">
        <f t="shared" si="6"/>
        <v>18.529411764705884</v>
      </c>
      <c r="AD19" s="43">
        <f t="shared" si="8"/>
        <v>45</v>
      </c>
      <c r="AE19" s="43"/>
      <c r="AG19" s="42">
        <v>3</v>
      </c>
      <c r="AH19">
        <f t="shared" si="9"/>
        <v>0.33088235294117646</v>
      </c>
      <c r="AI19">
        <f t="shared" si="9"/>
        <v>4.7058823529411785E-2</v>
      </c>
      <c r="AJ19">
        <f t="shared" si="9"/>
        <v>0.11343640020110599</v>
      </c>
      <c r="AK19">
        <f t="shared" si="9"/>
        <v>0.91531440162271815</v>
      </c>
      <c r="AL19">
        <f t="shared" si="9"/>
        <v>0.65004668534080223</v>
      </c>
      <c r="AM19" s="45">
        <f t="shared" si="10"/>
        <v>2.0567386636352145</v>
      </c>
      <c r="AN19" s="43"/>
      <c r="AP19" s="2" t="s">
        <v>205</v>
      </c>
      <c r="AQ19">
        <f>5*4</f>
        <v>20</v>
      </c>
    </row>
    <row r="20" spans="1:44" ht="15.6" x14ac:dyDescent="0.3">
      <c r="A20">
        <v>5</v>
      </c>
      <c r="B20">
        <v>2</v>
      </c>
      <c r="C20">
        <v>3</v>
      </c>
      <c r="D20">
        <v>5</v>
      </c>
      <c r="E20">
        <v>4</v>
      </c>
      <c r="F20">
        <v>2</v>
      </c>
      <c r="G20">
        <v>4</v>
      </c>
      <c r="H20">
        <v>5</v>
      </c>
      <c r="I20">
        <v>4</v>
      </c>
      <c r="J20">
        <v>2</v>
      </c>
      <c r="K20">
        <v>4</v>
      </c>
      <c r="L20">
        <v>2</v>
      </c>
      <c r="O20" s="42">
        <v>4</v>
      </c>
      <c r="P20">
        <f>COUNTIFS($A$2:$A$137,"4",$H$2:$H$137,"1")</f>
        <v>1</v>
      </c>
      <c r="Q20">
        <f>COUNTIFS($A$2:$A$137,"4",$H$2:$H$137,"2")</f>
        <v>2</v>
      </c>
      <c r="R20">
        <f>COUNTIFS($A$2:$A$137,"4",$H$2:$H$137,"3")</f>
        <v>1</v>
      </c>
      <c r="S20">
        <f>COUNTIFS($A$2:$A$137,"4",$H$2:$H$137,"4")</f>
        <v>12</v>
      </c>
      <c r="T20">
        <f>COUNTIFS($A$2:$A$137,"4",$H$2:$H$137,"5")</f>
        <v>6</v>
      </c>
      <c r="U20" s="43">
        <f t="shared" si="7"/>
        <v>22</v>
      </c>
      <c r="V20" s="43"/>
      <c r="X20" s="42">
        <v>4</v>
      </c>
      <c r="Y20">
        <f t="shared" si="6"/>
        <v>0.16176470588235295</v>
      </c>
      <c r="Z20">
        <f t="shared" si="6"/>
        <v>1.2941176470588236</v>
      </c>
      <c r="AA20">
        <f t="shared" si="6"/>
        <v>2.1029411764705883</v>
      </c>
      <c r="AB20">
        <f t="shared" si="6"/>
        <v>9.382352941176471</v>
      </c>
      <c r="AC20">
        <f t="shared" si="6"/>
        <v>9.0588235294117645</v>
      </c>
      <c r="AD20" s="43">
        <f t="shared" si="8"/>
        <v>22</v>
      </c>
      <c r="AE20" s="43"/>
      <c r="AG20" s="42">
        <v>4</v>
      </c>
      <c r="AH20">
        <f t="shared" si="9"/>
        <v>4.3435828877005349</v>
      </c>
      <c r="AI20">
        <f t="shared" si="9"/>
        <v>0.38502673796791437</v>
      </c>
      <c r="AJ20">
        <f t="shared" si="9"/>
        <v>0.57846565199506383</v>
      </c>
      <c r="AK20">
        <f t="shared" si="9"/>
        <v>0.73031532362161145</v>
      </c>
      <c r="AL20">
        <f t="shared" si="9"/>
        <v>1.0328495034377387</v>
      </c>
      <c r="AM20" s="45">
        <f t="shared" si="10"/>
        <v>7.0702401047228634</v>
      </c>
      <c r="AN20" s="43"/>
      <c r="AP20" s="2" t="s">
        <v>202</v>
      </c>
      <c r="AQ20" s="10">
        <f>SUM(AH17:AL22)</f>
        <v>15.497058073289601</v>
      </c>
    </row>
    <row r="21" spans="1:44" ht="15.6" x14ac:dyDescent="0.3">
      <c r="A21">
        <v>5</v>
      </c>
      <c r="B21">
        <v>2</v>
      </c>
      <c r="C21">
        <v>1</v>
      </c>
      <c r="D21">
        <v>5</v>
      </c>
      <c r="E21">
        <v>1</v>
      </c>
      <c r="F21">
        <v>2</v>
      </c>
      <c r="G21">
        <v>4</v>
      </c>
      <c r="H21">
        <v>4</v>
      </c>
      <c r="I21">
        <v>5</v>
      </c>
      <c r="J21">
        <v>4</v>
      </c>
      <c r="K21">
        <v>5</v>
      </c>
      <c r="L21">
        <v>3</v>
      </c>
      <c r="O21" s="42">
        <v>5</v>
      </c>
      <c r="P21">
        <f>COUNTIFS($A$2:$A$137,"5",$H$2:$H$137,"1")</f>
        <v>0</v>
      </c>
      <c r="Q21">
        <f>COUNTIFS($A$2:$A$137,"5",$H$2:$H$137,"2")</f>
        <v>1</v>
      </c>
      <c r="R21">
        <f>COUNTIFS($A$2:$A$137,"5",$H$2:$H$137,"3")</f>
        <v>4</v>
      </c>
      <c r="S21">
        <f>COUNTIFS($A$2:$A$137,"5",$H$2:$H$137,"4")</f>
        <v>15</v>
      </c>
      <c r="T21">
        <f>COUNTIFS($A$2:$A$137,"5",$H$2:$H$137,"5")</f>
        <v>15</v>
      </c>
      <c r="U21" s="43">
        <f t="shared" si="7"/>
        <v>35</v>
      </c>
      <c r="V21" s="43"/>
      <c r="X21" s="42">
        <v>5</v>
      </c>
      <c r="Y21">
        <f t="shared" si="6"/>
        <v>0.25735294117647056</v>
      </c>
      <c r="Z21">
        <f t="shared" si="6"/>
        <v>2.0588235294117645</v>
      </c>
      <c r="AA21">
        <f t="shared" si="6"/>
        <v>3.3455882352941178</v>
      </c>
      <c r="AB21">
        <f t="shared" si="6"/>
        <v>14.926470588235293</v>
      </c>
      <c r="AC21">
        <f t="shared" si="6"/>
        <v>14.411764705882353</v>
      </c>
      <c r="AD21" s="43">
        <f t="shared" si="8"/>
        <v>35</v>
      </c>
      <c r="AE21" s="43"/>
      <c r="AG21" s="42">
        <v>5</v>
      </c>
      <c r="AH21">
        <f t="shared" si="9"/>
        <v>0.25735294117647056</v>
      </c>
      <c r="AI21">
        <f t="shared" si="9"/>
        <v>0.54453781512605026</v>
      </c>
      <c r="AJ21">
        <f t="shared" si="9"/>
        <v>0.12800581771170003</v>
      </c>
      <c r="AK21">
        <f t="shared" si="9"/>
        <v>3.6221385105767064E-4</v>
      </c>
      <c r="AL21">
        <f t="shared" si="9"/>
        <v>2.4009603841536588E-2</v>
      </c>
      <c r="AM21" s="45">
        <f t="shared" si="10"/>
        <v>0.95426839170681521</v>
      </c>
      <c r="AN21" s="43"/>
      <c r="AP21" s="2" t="s">
        <v>203</v>
      </c>
      <c r="AQ21" s="50">
        <v>31.41</v>
      </c>
    </row>
    <row r="22" spans="1:44" ht="15.6" x14ac:dyDescent="0.3">
      <c r="A22">
        <v>3</v>
      </c>
      <c r="B22">
        <v>2</v>
      </c>
      <c r="C22">
        <v>2</v>
      </c>
      <c r="D22">
        <v>3</v>
      </c>
      <c r="E22">
        <v>3</v>
      </c>
      <c r="F22">
        <v>2</v>
      </c>
      <c r="G22">
        <v>1</v>
      </c>
      <c r="H22">
        <v>4</v>
      </c>
      <c r="I22">
        <v>4</v>
      </c>
      <c r="J22">
        <v>2</v>
      </c>
      <c r="K22">
        <v>4</v>
      </c>
      <c r="L22">
        <v>2</v>
      </c>
      <c r="O22" s="42">
        <v>6</v>
      </c>
      <c r="P22">
        <f>COUNTIFS($A$2:$A$137,"6",$H$2:$H$137,"1")</f>
        <v>0</v>
      </c>
      <c r="Q22">
        <f>COUNTIFS($A$2:$A$137,"6",$H$2:$H$137,"2")</f>
        <v>1</v>
      </c>
      <c r="R22">
        <f>COUNTIFS($A$2:$A$137,"6",$H$2:$H$137,"3")</f>
        <v>1</v>
      </c>
      <c r="S22">
        <f>COUNTIFS($A$2:$A$137,"6",$H$2:$H$137,"4")</f>
        <v>7</v>
      </c>
      <c r="T22">
        <f>COUNTIFS($A$2:$A$137,"6",$H$2:$H$137,"5")</f>
        <v>1</v>
      </c>
      <c r="U22" s="43">
        <f t="shared" si="7"/>
        <v>10</v>
      </c>
      <c r="V22" s="43"/>
      <c r="X22" s="42">
        <v>6</v>
      </c>
      <c r="Y22">
        <f t="shared" si="6"/>
        <v>7.3529411764705885E-2</v>
      </c>
      <c r="Z22">
        <f t="shared" si="6"/>
        <v>0.58823529411764708</v>
      </c>
      <c r="AA22">
        <f t="shared" si="6"/>
        <v>0.95588235294117652</v>
      </c>
      <c r="AB22">
        <f t="shared" si="6"/>
        <v>4.2647058823529411</v>
      </c>
      <c r="AC22">
        <f t="shared" si="6"/>
        <v>4.117647058823529</v>
      </c>
      <c r="AD22" s="43">
        <f t="shared" si="8"/>
        <v>10</v>
      </c>
      <c r="AE22" s="43"/>
      <c r="AG22" s="42">
        <v>6</v>
      </c>
      <c r="AH22">
        <f t="shared" si="9"/>
        <v>7.3529411764705885E-2</v>
      </c>
      <c r="AI22">
        <f t="shared" si="9"/>
        <v>0.28823529411764703</v>
      </c>
      <c r="AJ22">
        <f t="shared" si="9"/>
        <v>2.0361990950226202E-3</v>
      </c>
      <c r="AK22">
        <f t="shared" si="9"/>
        <v>1.7543610547667343</v>
      </c>
      <c r="AL22">
        <f t="shared" si="9"/>
        <v>2.3605042016806719</v>
      </c>
      <c r="AM22" s="45">
        <f t="shared" si="10"/>
        <v>4.4786661614247816</v>
      </c>
      <c r="AN22" s="43"/>
      <c r="AP22" s="2" t="s">
        <v>206</v>
      </c>
      <c r="AQ22">
        <f>_xlfn.CHISQ.DIST.RT(AQ20,AQ19)</f>
        <v>0.74729487441304299</v>
      </c>
    </row>
    <row r="23" spans="1:44" ht="18" x14ac:dyDescent="0.35">
      <c r="A23">
        <v>4</v>
      </c>
      <c r="B23">
        <v>2</v>
      </c>
      <c r="C23">
        <v>2</v>
      </c>
      <c r="D23">
        <v>4</v>
      </c>
      <c r="E23">
        <v>2</v>
      </c>
      <c r="F23">
        <v>2</v>
      </c>
      <c r="G23">
        <v>4</v>
      </c>
      <c r="H23">
        <v>5</v>
      </c>
      <c r="I23">
        <v>5</v>
      </c>
      <c r="J23">
        <v>4</v>
      </c>
      <c r="K23">
        <v>4</v>
      </c>
      <c r="L23">
        <v>4</v>
      </c>
      <c r="P23" s="43">
        <f>SUM(P17:P22)</f>
        <v>1</v>
      </c>
      <c r="Q23" s="43">
        <f>SUM(Q17:Q22)</f>
        <v>8</v>
      </c>
      <c r="R23" s="43">
        <f>SUM(R17:R22)</f>
        <v>13</v>
      </c>
      <c r="S23" s="43">
        <f>SUM(S17:S22)</f>
        <v>58</v>
      </c>
      <c r="T23" s="43">
        <f>SUM(T17:T22)</f>
        <v>56</v>
      </c>
      <c r="U23" s="48">
        <f t="shared" si="7"/>
        <v>136</v>
      </c>
      <c r="V23" s="46"/>
      <c r="Y23" s="43">
        <f>SUM(Y17:Y22)</f>
        <v>0.99999999999999989</v>
      </c>
      <c r="Z23" s="43">
        <f>SUM(Z17:Z22)</f>
        <v>7.9999999999999991</v>
      </c>
      <c r="AA23" s="43">
        <f>SUM(AA17:AA22)</f>
        <v>13</v>
      </c>
      <c r="AB23" s="43">
        <f>SUM(AB17:AB22)</f>
        <v>58</v>
      </c>
      <c r="AC23" s="43">
        <f>SUM(AC17:AC22)</f>
        <v>56</v>
      </c>
      <c r="AD23" s="48">
        <f t="shared" si="8"/>
        <v>136</v>
      </c>
      <c r="AE23" s="43"/>
      <c r="AH23" s="48">
        <f>SUM(AH17:AH22)</f>
        <v>5.1818181818181825</v>
      </c>
      <c r="AI23" s="48">
        <f>SUM(AI17:AI22)</f>
        <v>1.3849567099567097</v>
      </c>
      <c r="AJ23" s="48">
        <f>SUM(AJ17:AJ22)</f>
        <v>0.8596514596514595</v>
      </c>
      <c r="AK23" s="48">
        <f>SUM(AK17:AK22)</f>
        <v>3.549440214957456</v>
      </c>
      <c r="AL23" s="48">
        <f>SUM(AL17:AL22)</f>
        <v>4.521191506905792</v>
      </c>
      <c r="AM23" s="46">
        <f t="shared" si="10"/>
        <v>15.497058073289599</v>
      </c>
      <c r="AN23" s="43"/>
      <c r="AP23" t="s">
        <v>210</v>
      </c>
    </row>
    <row r="24" spans="1:44" ht="18" x14ac:dyDescent="0.35">
      <c r="A24">
        <v>4</v>
      </c>
      <c r="B24">
        <v>2</v>
      </c>
      <c r="C24">
        <v>2</v>
      </c>
      <c r="D24">
        <v>4</v>
      </c>
      <c r="E24">
        <v>2</v>
      </c>
      <c r="F24">
        <v>3</v>
      </c>
      <c r="G24">
        <v>2</v>
      </c>
      <c r="H24">
        <v>4</v>
      </c>
      <c r="I24">
        <v>5</v>
      </c>
      <c r="J24">
        <v>5</v>
      </c>
      <c r="K24">
        <v>4</v>
      </c>
      <c r="L24">
        <v>5</v>
      </c>
      <c r="AN24" s="46"/>
      <c r="AP24" s="2" t="s">
        <v>312</v>
      </c>
      <c r="AQ24">
        <v>4</v>
      </c>
    </row>
    <row r="25" spans="1:44" ht="15.6" x14ac:dyDescent="0.3">
      <c r="A25">
        <v>2</v>
      </c>
      <c r="B25">
        <v>2</v>
      </c>
      <c r="C25">
        <v>2</v>
      </c>
      <c r="D25">
        <v>1</v>
      </c>
      <c r="E25">
        <v>2</v>
      </c>
      <c r="F25">
        <v>3</v>
      </c>
      <c r="G25">
        <v>4</v>
      </c>
      <c r="H25">
        <v>5</v>
      </c>
      <c r="I25">
        <v>5</v>
      </c>
      <c r="J25">
        <v>3</v>
      </c>
      <c r="K25">
        <v>4</v>
      </c>
      <c r="L25">
        <v>3</v>
      </c>
      <c r="AP25" s="2" t="s">
        <v>313</v>
      </c>
      <c r="AQ25" s="50">
        <f>SQRT(AQ20/($AQ$9*$AQ$10))</f>
        <v>0.16878163142152575</v>
      </c>
      <c r="AR25" t="s">
        <v>311</v>
      </c>
    </row>
    <row r="26" spans="1:44" x14ac:dyDescent="0.3">
      <c r="A26">
        <v>3</v>
      </c>
      <c r="B26">
        <v>2</v>
      </c>
      <c r="C26">
        <v>2</v>
      </c>
      <c r="D26">
        <v>2</v>
      </c>
      <c r="E26">
        <v>2</v>
      </c>
      <c r="F26">
        <v>3</v>
      </c>
      <c r="G26">
        <v>3</v>
      </c>
      <c r="H26">
        <v>4</v>
      </c>
      <c r="I26">
        <v>4</v>
      </c>
      <c r="J26">
        <v>3</v>
      </c>
      <c r="K26">
        <v>3</v>
      </c>
      <c r="L26">
        <v>4</v>
      </c>
    </row>
    <row r="27" spans="1:44" x14ac:dyDescent="0.3">
      <c r="A27">
        <v>3</v>
      </c>
      <c r="B27">
        <v>2</v>
      </c>
      <c r="C27">
        <v>2</v>
      </c>
      <c r="D27">
        <v>2</v>
      </c>
      <c r="E27">
        <v>2</v>
      </c>
      <c r="F27">
        <v>2</v>
      </c>
      <c r="G27">
        <v>3</v>
      </c>
      <c r="H27">
        <v>4</v>
      </c>
      <c r="I27">
        <v>4</v>
      </c>
      <c r="J27">
        <v>2</v>
      </c>
      <c r="K27">
        <v>4</v>
      </c>
      <c r="L27">
        <v>4</v>
      </c>
    </row>
    <row r="28" spans="1:44" x14ac:dyDescent="0.3">
      <c r="A28">
        <v>3</v>
      </c>
      <c r="B28">
        <v>2</v>
      </c>
      <c r="C28">
        <v>2</v>
      </c>
      <c r="D28">
        <v>2</v>
      </c>
      <c r="E28">
        <v>4</v>
      </c>
      <c r="F28">
        <v>3</v>
      </c>
      <c r="G28">
        <v>5</v>
      </c>
      <c r="H28">
        <v>5</v>
      </c>
      <c r="I28">
        <v>5</v>
      </c>
      <c r="J28">
        <v>3</v>
      </c>
      <c r="K28">
        <v>5</v>
      </c>
      <c r="L28">
        <v>5</v>
      </c>
    </row>
    <row r="29" spans="1:44" x14ac:dyDescent="0.3">
      <c r="A29">
        <v>3</v>
      </c>
      <c r="B29">
        <v>2</v>
      </c>
      <c r="C29">
        <v>1</v>
      </c>
      <c r="D29">
        <v>2</v>
      </c>
      <c r="E29">
        <v>1</v>
      </c>
      <c r="F29">
        <v>2</v>
      </c>
      <c r="G29">
        <v>1</v>
      </c>
      <c r="H29">
        <v>5</v>
      </c>
      <c r="I29">
        <v>4</v>
      </c>
      <c r="J29">
        <v>3</v>
      </c>
      <c r="K29">
        <v>5</v>
      </c>
      <c r="L29">
        <v>3</v>
      </c>
      <c r="P29" s="106" t="s">
        <v>200</v>
      </c>
      <c r="Q29" s="106"/>
      <c r="R29" s="106"/>
      <c r="S29" s="106"/>
      <c r="T29" s="106"/>
      <c r="U29" s="106"/>
      <c r="Y29" s="106" t="s">
        <v>211</v>
      </c>
      <c r="Z29" s="106"/>
      <c r="AA29" s="106"/>
      <c r="AB29" s="106"/>
      <c r="AC29" s="106"/>
      <c r="AD29" s="106"/>
      <c r="AG29" s="106" t="s">
        <v>209</v>
      </c>
      <c r="AH29" s="106"/>
      <c r="AI29" s="106"/>
      <c r="AJ29" s="106"/>
      <c r="AK29" s="106"/>
      <c r="AL29" s="106"/>
      <c r="AM29" s="106"/>
    </row>
    <row r="30" spans="1:44" ht="15.6" x14ac:dyDescent="0.3">
      <c r="A30">
        <v>3</v>
      </c>
      <c r="B30">
        <v>2</v>
      </c>
      <c r="C30">
        <v>2</v>
      </c>
      <c r="D30">
        <v>2</v>
      </c>
      <c r="E30">
        <v>2</v>
      </c>
      <c r="F30">
        <v>2</v>
      </c>
      <c r="G30">
        <v>5</v>
      </c>
      <c r="H30">
        <v>2</v>
      </c>
      <c r="I30">
        <v>5</v>
      </c>
      <c r="J30">
        <v>5</v>
      </c>
      <c r="K30">
        <v>5</v>
      </c>
      <c r="L30">
        <v>5</v>
      </c>
      <c r="O30" s="11" t="s">
        <v>142</v>
      </c>
      <c r="P30" s="10">
        <v>1</v>
      </c>
      <c r="Q30" s="10">
        <v>2</v>
      </c>
      <c r="R30" s="10">
        <v>3</v>
      </c>
      <c r="S30" s="10">
        <v>4</v>
      </c>
      <c r="T30" s="10">
        <v>5</v>
      </c>
      <c r="U30" s="10"/>
      <c r="V30" s="44"/>
      <c r="X30" s="11" t="s">
        <v>142</v>
      </c>
      <c r="Y30" s="10">
        <v>1</v>
      </c>
      <c r="Z30" s="10">
        <v>2</v>
      </c>
      <c r="AA30" s="10">
        <v>3</v>
      </c>
      <c r="AB30" s="10">
        <v>4</v>
      </c>
      <c r="AC30" s="10">
        <v>5</v>
      </c>
      <c r="AD30" s="10"/>
      <c r="AE30" s="52"/>
      <c r="AG30" s="11" t="s">
        <v>142</v>
      </c>
      <c r="AH30" s="10">
        <v>1</v>
      </c>
      <c r="AI30" s="10">
        <v>2</v>
      </c>
      <c r="AJ30" s="10">
        <v>3</v>
      </c>
      <c r="AK30" s="10">
        <v>4</v>
      </c>
      <c r="AL30" s="10">
        <v>5</v>
      </c>
      <c r="AM30" s="10"/>
    </row>
    <row r="31" spans="1:44" ht="15.6" x14ac:dyDescent="0.3">
      <c r="A31">
        <v>5</v>
      </c>
      <c r="B31">
        <v>2</v>
      </c>
      <c r="C31">
        <v>2</v>
      </c>
      <c r="D31">
        <v>5</v>
      </c>
      <c r="E31">
        <v>2</v>
      </c>
      <c r="F31">
        <v>2</v>
      </c>
      <c r="G31">
        <v>2</v>
      </c>
      <c r="H31">
        <v>2</v>
      </c>
      <c r="I31">
        <v>4</v>
      </c>
      <c r="J31">
        <v>1</v>
      </c>
      <c r="K31">
        <v>2</v>
      </c>
      <c r="L31">
        <v>2</v>
      </c>
      <c r="O31" s="42">
        <v>1</v>
      </c>
      <c r="P31">
        <f>COUNTIFS($A$2:$A$137,"1",$I$2:$I$137,"1")</f>
        <v>0</v>
      </c>
      <c r="Q31">
        <f>COUNTIFS($A$2:$A$137,"1",$I$2:$I$137,"2")</f>
        <v>0</v>
      </c>
      <c r="R31">
        <f>COUNTIFS($A$2:$A$137,"1",$I$2:$I$137,"3")</f>
        <v>0</v>
      </c>
      <c r="S31">
        <f>COUNTIFS($A$2:$A$137,"1",$I$2:$I$137,"4")</f>
        <v>0</v>
      </c>
      <c r="T31">
        <f>COUNTIFS($A$2:$A$137,"1",$I$2:$I$137,"5")</f>
        <v>0</v>
      </c>
      <c r="U31" s="43">
        <f>SUM(O31:T31)</f>
        <v>1</v>
      </c>
      <c r="V31" s="43"/>
      <c r="X31" s="42">
        <v>1</v>
      </c>
      <c r="Y31">
        <f t="shared" ref="Y31:Y36" si="11">$U31*P$37/$U$37</f>
        <v>7.3529411764705881E-3</v>
      </c>
      <c r="Z31">
        <f t="shared" ref="Z31:AC36" si="12">$U31*Q$37/$U$37</f>
        <v>7.3529411764705881E-3</v>
      </c>
      <c r="AA31">
        <f t="shared" si="12"/>
        <v>8.0882352941176475E-2</v>
      </c>
      <c r="AB31">
        <f t="shared" si="12"/>
        <v>0.5220588235294118</v>
      </c>
      <c r="AC31">
        <f t="shared" si="12"/>
        <v>0.38235294117647056</v>
      </c>
      <c r="AD31" s="43">
        <f>SUM(Y31:AC31)</f>
        <v>1</v>
      </c>
      <c r="AE31" s="43"/>
      <c r="AG31" s="42">
        <v>1</v>
      </c>
      <c r="AH31" s="49">
        <v>0</v>
      </c>
      <c r="AI31" s="49">
        <v>0</v>
      </c>
      <c r="AJ31" s="49">
        <v>0</v>
      </c>
      <c r="AK31" s="49">
        <v>0</v>
      </c>
      <c r="AL31" s="49">
        <v>0</v>
      </c>
      <c r="AM31" s="45">
        <f>SUM(AH31:AL31)</f>
        <v>0</v>
      </c>
      <c r="AN31" s="44"/>
    </row>
    <row r="32" spans="1:44" ht="15.6" x14ac:dyDescent="0.3">
      <c r="A32">
        <v>6</v>
      </c>
      <c r="B32">
        <v>2</v>
      </c>
      <c r="C32">
        <v>1</v>
      </c>
      <c r="D32">
        <v>5</v>
      </c>
      <c r="E32">
        <v>1</v>
      </c>
      <c r="F32">
        <v>1</v>
      </c>
      <c r="G32">
        <v>5</v>
      </c>
      <c r="H32">
        <v>4</v>
      </c>
      <c r="I32">
        <v>5</v>
      </c>
      <c r="J32">
        <v>5</v>
      </c>
      <c r="K32">
        <v>5</v>
      </c>
      <c r="L32">
        <v>4</v>
      </c>
      <c r="O32" s="42">
        <v>2</v>
      </c>
      <c r="P32">
        <f>COUNTIFS($A$2:$A$137,"2",$I$2:$I$137,"1")</f>
        <v>0</v>
      </c>
      <c r="Q32">
        <f>COUNTIFS($A$2:$A$137,"2",$I$2:$I$137,"2")</f>
        <v>0</v>
      </c>
      <c r="R32">
        <f>COUNTIFS($A$2:$A$137,"2",$I$2:$I$137,"3")</f>
        <v>5</v>
      </c>
      <c r="S32">
        <f>COUNTIFS($A$2:$A$137,"2",$I$2:$I$137,"4")</f>
        <v>9</v>
      </c>
      <c r="T32">
        <f>COUNTIFS($A$2:$A$137,"2",$I$2:$I$137,"5")</f>
        <v>10</v>
      </c>
      <c r="U32" s="43">
        <f t="shared" ref="U32:U37" si="13">SUM(O32:T32)</f>
        <v>26</v>
      </c>
      <c r="V32" s="43"/>
      <c r="X32" s="42">
        <v>2</v>
      </c>
      <c r="Y32">
        <f t="shared" si="11"/>
        <v>0.19117647058823528</v>
      </c>
      <c r="Z32">
        <f t="shared" si="12"/>
        <v>0.19117647058823528</v>
      </c>
      <c r="AA32">
        <f t="shared" si="12"/>
        <v>2.1029411764705883</v>
      </c>
      <c r="AB32">
        <f t="shared" si="12"/>
        <v>13.573529411764707</v>
      </c>
      <c r="AC32">
        <f t="shared" si="12"/>
        <v>9.9411764705882355</v>
      </c>
      <c r="AD32" s="43">
        <f t="shared" ref="AD32:AD37" si="14">SUM(Y32:AC32)</f>
        <v>26</v>
      </c>
      <c r="AE32" s="43"/>
      <c r="AG32" s="42">
        <v>2</v>
      </c>
      <c r="AH32">
        <f t="shared" ref="AH32:AL36" si="15">(P32-Y32)^2/Y32</f>
        <v>0.19117647058823531</v>
      </c>
      <c r="AI32">
        <f t="shared" si="15"/>
        <v>0.19117647058823531</v>
      </c>
      <c r="AJ32">
        <f t="shared" si="15"/>
        <v>3.9910530645824762</v>
      </c>
      <c r="AK32">
        <f t="shared" si="15"/>
        <v>1.5410267032056597</v>
      </c>
      <c r="AL32">
        <f t="shared" si="15"/>
        <v>3.4806822137138633E-4</v>
      </c>
      <c r="AM32" s="45">
        <f t="shared" ref="AM32:AM37" si="16">SUM(AH32:AL32)</f>
        <v>5.9147807771859782</v>
      </c>
      <c r="AN32" s="43"/>
      <c r="AP32" s="2" t="s">
        <v>204</v>
      </c>
      <c r="AQ32">
        <v>0.05</v>
      </c>
    </row>
    <row r="33" spans="1:44" ht="15.6" x14ac:dyDescent="0.3">
      <c r="A33">
        <v>3</v>
      </c>
      <c r="B33">
        <v>2</v>
      </c>
      <c r="C33">
        <v>2</v>
      </c>
      <c r="D33">
        <v>2</v>
      </c>
      <c r="E33">
        <v>2</v>
      </c>
      <c r="F33">
        <v>2</v>
      </c>
      <c r="G33">
        <v>3</v>
      </c>
      <c r="H33">
        <v>5</v>
      </c>
      <c r="I33">
        <v>4</v>
      </c>
      <c r="J33">
        <v>3</v>
      </c>
      <c r="K33">
        <v>4</v>
      </c>
      <c r="L33">
        <v>3</v>
      </c>
      <c r="O33" s="42">
        <v>3</v>
      </c>
      <c r="P33">
        <f>COUNTIFS($A$2:$A$137,"3",$I$2:$I$137,"1")</f>
        <v>0</v>
      </c>
      <c r="Q33">
        <f>COUNTIFS($A$2:$A$137,"3",$I$2:$I$137,"2")</f>
        <v>1</v>
      </c>
      <c r="R33">
        <f>COUNTIFS($A$2:$A$137,"3",$I$2:$I$137,"3")</f>
        <v>1</v>
      </c>
      <c r="S33">
        <f>COUNTIFS($A$2:$A$137,"3",$I$2:$I$137,"4")</f>
        <v>26</v>
      </c>
      <c r="T33">
        <f>COUNTIFS($A$2:$A$137,"3",$I$2:$I$137,"5")</f>
        <v>17</v>
      </c>
      <c r="U33" s="43">
        <f t="shared" si="13"/>
        <v>48</v>
      </c>
      <c r="V33" s="43"/>
      <c r="X33" s="42">
        <v>3</v>
      </c>
      <c r="Y33">
        <f t="shared" si="11"/>
        <v>0.35294117647058826</v>
      </c>
      <c r="Z33">
        <f t="shared" si="12"/>
        <v>0.35294117647058826</v>
      </c>
      <c r="AA33">
        <f t="shared" si="12"/>
        <v>3.8823529411764706</v>
      </c>
      <c r="AB33">
        <f t="shared" si="12"/>
        <v>25.058823529411764</v>
      </c>
      <c r="AC33">
        <f t="shared" si="12"/>
        <v>18.352941176470587</v>
      </c>
      <c r="AD33" s="43">
        <f t="shared" si="14"/>
        <v>48</v>
      </c>
      <c r="AE33" s="43"/>
      <c r="AG33" s="42">
        <v>3</v>
      </c>
      <c r="AH33">
        <f t="shared" si="15"/>
        <v>0.35294117647058826</v>
      </c>
      <c r="AI33">
        <f t="shared" si="15"/>
        <v>1.1862745098039214</v>
      </c>
      <c r="AJ33">
        <f t="shared" si="15"/>
        <v>2.1399286987522284</v>
      </c>
      <c r="AK33">
        <f t="shared" si="15"/>
        <v>3.5349351008008852E-2</v>
      </c>
      <c r="AL33">
        <f t="shared" si="15"/>
        <v>9.9736048265459842E-2</v>
      </c>
      <c r="AM33" s="45">
        <f t="shared" si="16"/>
        <v>3.8142297843002066</v>
      </c>
      <c r="AN33" s="43"/>
      <c r="AP33" s="2" t="s">
        <v>205</v>
      </c>
      <c r="AQ33">
        <f>5*4</f>
        <v>20</v>
      </c>
    </row>
    <row r="34" spans="1:44" ht="15.6" x14ac:dyDescent="0.3">
      <c r="A34">
        <v>3</v>
      </c>
      <c r="B34">
        <v>2</v>
      </c>
      <c r="C34">
        <v>2</v>
      </c>
      <c r="D34">
        <v>1</v>
      </c>
      <c r="E34">
        <v>2</v>
      </c>
      <c r="F34">
        <v>2</v>
      </c>
      <c r="G34">
        <v>5</v>
      </c>
      <c r="H34">
        <v>4</v>
      </c>
      <c r="I34">
        <v>4</v>
      </c>
      <c r="J34">
        <v>3</v>
      </c>
      <c r="K34">
        <v>5</v>
      </c>
      <c r="L34">
        <v>4</v>
      </c>
      <c r="O34" s="42">
        <v>4</v>
      </c>
      <c r="P34">
        <f>COUNTIFS($A$2:$A$137,"4",$I$2:$I$137,"1")</f>
        <v>1</v>
      </c>
      <c r="Q34">
        <f>COUNTIFS($A$2:$A$137,"4",$I$2:$I$137,"2")</f>
        <v>0</v>
      </c>
      <c r="R34">
        <f>COUNTIFS($A$2:$A$137,"4",$I$2:$I$137,"3")</f>
        <v>1</v>
      </c>
      <c r="S34">
        <f>COUNTIFS($A$2:$A$137,"4",$I$2:$I$137,"4")</f>
        <v>12</v>
      </c>
      <c r="T34">
        <f>COUNTIFS($A$2:$A$137,"4",$I$2:$I$137,"5")</f>
        <v>8</v>
      </c>
      <c r="U34" s="43">
        <f t="shared" si="13"/>
        <v>26</v>
      </c>
      <c r="V34" s="43"/>
      <c r="X34" s="42">
        <v>4</v>
      </c>
      <c r="Y34">
        <f t="shared" si="11"/>
        <v>0.19117647058823528</v>
      </c>
      <c r="Z34">
        <f t="shared" si="12"/>
        <v>0.19117647058823528</v>
      </c>
      <c r="AA34">
        <f t="shared" si="12"/>
        <v>2.1029411764705883</v>
      </c>
      <c r="AB34">
        <f t="shared" si="12"/>
        <v>13.573529411764707</v>
      </c>
      <c r="AC34">
        <f t="shared" si="12"/>
        <v>9.9411764705882355</v>
      </c>
      <c r="AD34" s="43">
        <f t="shared" si="14"/>
        <v>26</v>
      </c>
      <c r="AE34" s="43"/>
      <c r="AG34" s="42">
        <v>4</v>
      </c>
      <c r="AH34">
        <f t="shared" si="15"/>
        <v>3.4219457013574668</v>
      </c>
      <c r="AI34">
        <f t="shared" si="15"/>
        <v>0.19117647058823531</v>
      </c>
      <c r="AJ34">
        <f t="shared" si="15"/>
        <v>0.57846565199506383</v>
      </c>
      <c r="AK34">
        <f t="shared" si="15"/>
        <v>0.1824134854375121</v>
      </c>
      <c r="AL34">
        <f t="shared" si="15"/>
        <v>0.37904629307344245</v>
      </c>
      <c r="AM34" s="45">
        <f t="shared" si="16"/>
        <v>4.753047602451721</v>
      </c>
      <c r="AN34" s="43"/>
      <c r="AP34" s="2" t="s">
        <v>202</v>
      </c>
      <c r="AQ34" s="10">
        <f>SUM(AH31:AL36)</f>
        <v>19.419684973747813</v>
      </c>
    </row>
    <row r="35" spans="1:44" ht="15.6" x14ac:dyDescent="0.3">
      <c r="A35">
        <v>5</v>
      </c>
      <c r="B35">
        <v>2</v>
      </c>
      <c r="C35">
        <v>3</v>
      </c>
      <c r="D35">
        <v>5</v>
      </c>
      <c r="E35">
        <v>4</v>
      </c>
      <c r="F35">
        <v>1</v>
      </c>
      <c r="G35">
        <v>4</v>
      </c>
      <c r="H35">
        <v>5</v>
      </c>
      <c r="I35">
        <v>5</v>
      </c>
      <c r="J35">
        <v>4</v>
      </c>
      <c r="K35">
        <v>3</v>
      </c>
      <c r="L35">
        <v>4</v>
      </c>
      <c r="O35" s="42">
        <v>5</v>
      </c>
      <c r="P35">
        <f>COUNTIFS($A$2:$A$137,"5",$I$2:$I$137,"1")</f>
        <v>0</v>
      </c>
      <c r="Q35">
        <f>COUNTIFS($A$2:$A$137,"5",$I$2:$I$137,"2")</f>
        <v>0</v>
      </c>
      <c r="R35">
        <f>COUNTIFS($A$2:$A$137,"5",$I$2:$I$137,"3")</f>
        <v>4</v>
      </c>
      <c r="S35">
        <f>COUNTIFS($A$2:$A$137,"5",$I$2:$I$137,"4")</f>
        <v>17</v>
      </c>
      <c r="T35">
        <f>COUNTIFS($A$2:$A$137,"5",$I$2:$I$137,"5")</f>
        <v>14</v>
      </c>
      <c r="U35" s="43">
        <f t="shared" si="13"/>
        <v>40</v>
      </c>
      <c r="V35" s="43"/>
      <c r="X35" s="42">
        <v>5</v>
      </c>
      <c r="Y35">
        <f t="shared" si="11"/>
        <v>0.29411764705882354</v>
      </c>
      <c r="Z35">
        <f t="shared" si="12"/>
        <v>0.29411764705882354</v>
      </c>
      <c r="AA35">
        <f t="shared" si="12"/>
        <v>3.2352941176470589</v>
      </c>
      <c r="AB35">
        <f t="shared" si="12"/>
        <v>20.882352941176471</v>
      </c>
      <c r="AC35">
        <f t="shared" si="12"/>
        <v>15.294117647058824</v>
      </c>
      <c r="AD35" s="43">
        <f t="shared" si="14"/>
        <v>40</v>
      </c>
      <c r="AE35" s="43"/>
      <c r="AG35" s="42">
        <v>5</v>
      </c>
      <c r="AH35">
        <f t="shared" si="15"/>
        <v>0.29411764705882354</v>
      </c>
      <c r="AI35">
        <f t="shared" si="15"/>
        <v>0.29411764705882354</v>
      </c>
      <c r="AJ35">
        <f t="shared" si="15"/>
        <v>0.18074866310160426</v>
      </c>
      <c r="AK35">
        <f t="shared" si="15"/>
        <v>0.72178956089478052</v>
      </c>
      <c r="AL35">
        <f t="shared" si="15"/>
        <v>0.10950226244343904</v>
      </c>
      <c r="AM35" s="45">
        <f t="shared" si="16"/>
        <v>1.600275780557471</v>
      </c>
      <c r="AN35" s="43"/>
      <c r="AP35" s="2" t="s">
        <v>203</v>
      </c>
      <c r="AQ35" s="50">
        <v>31.41</v>
      </c>
    </row>
    <row r="36" spans="1:44" ht="15.6" x14ac:dyDescent="0.3">
      <c r="A36">
        <v>5</v>
      </c>
      <c r="B36">
        <v>2</v>
      </c>
      <c r="C36">
        <v>2</v>
      </c>
      <c r="D36">
        <v>5</v>
      </c>
      <c r="E36">
        <v>2</v>
      </c>
      <c r="F36">
        <v>2</v>
      </c>
      <c r="G36">
        <v>4</v>
      </c>
      <c r="H36">
        <v>5</v>
      </c>
      <c r="I36">
        <v>4</v>
      </c>
      <c r="J36">
        <v>3</v>
      </c>
      <c r="K36">
        <v>5</v>
      </c>
      <c r="L36">
        <v>4</v>
      </c>
      <c r="O36" s="42">
        <v>6</v>
      </c>
      <c r="P36">
        <f>COUNTIFS($A$2:$A$137,"6",$I$2:$I$137,"1")</f>
        <v>0</v>
      </c>
      <c r="Q36">
        <f>COUNTIFS($A$2:$A$137,"6",$I$2:$I$137,"2")</f>
        <v>0</v>
      </c>
      <c r="R36">
        <f>COUNTIFS($A$2:$A$137,"6",$I$2:$I$137,"3")</f>
        <v>0</v>
      </c>
      <c r="S36">
        <f>COUNTIFS($A$2:$A$137,"6",$I$2:$I$137,"4")</f>
        <v>7</v>
      </c>
      <c r="T36">
        <f>COUNTIFS($A$2:$A$137,"6",$I$2:$I$137,"5")</f>
        <v>3</v>
      </c>
      <c r="U36" s="43">
        <f t="shared" si="13"/>
        <v>16</v>
      </c>
      <c r="V36" s="43"/>
      <c r="X36" s="42">
        <v>6</v>
      </c>
      <c r="Y36">
        <f t="shared" si="11"/>
        <v>0.11764705882352941</v>
      </c>
      <c r="Z36">
        <f t="shared" si="12"/>
        <v>0.11764705882352941</v>
      </c>
      <c r="AA36">
        <f t="shared" si="12"/>
        <v>1.2941176470588236</v>
      </c>
      <c r="AB36">
        <f t="shared" si="12"/>
        <v>8.3529411764705888</v>
      </c>
      <c r="AC36">
        <f t="shared" si="12"/>
        <v>6.117647058823529</v>
      </c>
      <c r="AD36" s="43">
        <f t="shared" si="14"/>
        <v>16</v>
      </c>
      <c r="AE36" s="43"/>
      <c r="AG36" s="42">
        <v>6</v>
      </c>
      <c r="AH36">
        <f t="shared" si="15"/>
        <v>0.11764705882352941</v>
      </c>
      <c r="AI36">
        <f t="shared" si="15"/>
        <v>0.11764705882352941</v>
      </c>
      <c r="AJ36">
        <f t="shared" si="15"/>
        <v>1.2941176470588236</v>
      </c>
      <c r="AK36">
        <f t="shared" si="15"/>
        <v>0.21913835956917993</v>
      </c>
      <c r="AL36">
        <f t="shared" si="15"/>
        <v>1.5888009049773753</v>
      </c>
      <c r="AM36" s="45">
        <f t="shared" si="16"/>
        <v>3.3373510292524378</v>
      </c>
      <c r="AN36" s="43"/>
      <c r="AP36" s="2" t="s">
        <v>206</v>
      </c>
      <c r="AQ36">
        <f>_xlfn.CHISQ.DIST.RT(AQ34,AQ33)</f>
        <v>0.49471563031545307</v>
      </c>
    </row>
    <row r="37" spans="1:44" ht="18" x14ac:dyDescent="0.35">
      <c r="A37">
        <v>5</v>
      </c>
      <c r="B37">
        <v>2</v>
      </c>
      <c r="C37">
        <v>2</v>
      </c>
      <c r="D37">
        <v>4</v>
      </c>
      <c r="E37">
        <v>4</v>
      </c>
      <c r="F37">
        <v>1</v>
      </c>
      <c r="G37">
        <v>5</v>
      </c>
      <c r="H37">
        <v>4</v>
      </c>
      <c r="I37">
        <v>4</v>
      </c>
      <c r="J37">
        <v>5</v>
      </c>
      <c r="K37">
        <v>4</v>
      </c>
      <c r="L37">
        <v>2</v>
      </c>
      <c r="P37" s="43">
        <f>SUM(P31:P36)</f>
        <v>1</v>
      </c>
      <c r="Q37" s="43">
        <f>SUM(Q31:Q36)</f>
        <v>1</v>
      </c>
      <c r="R37" s="43">
        <f>SUM(R31:R36)</f>
        <v>11</v>
      </c>
      <c r="S37" s="43">
        <f>SUM(S31:S36)</f>
        <v>71</v>
      </c>
      <c r="T37" s="43">
        <f>SUM(T31:T36)</f>
        <v>52</v>
      </c>
      <c r="U37" s="43">
        <f t="shared" si="13"/>
        <v>136</v>
      </c>
      <c r="V37" s="43"/>
      <c r="Y37" s="43">
        <f>SUM(Y31:Y36)</f>
        <v>1.1544117647058825</v>
      </c>
      <c r="Z37" s="43">
        <f>SUM(Z31:Z36)</f>
        <v>1.1544117647058825</v>
      </c>
      <c r="AA37" s="43">
        <f>SUM(AA31:AA36)</f>
        <v>12.698529411764708</v>
      </c>
      <c r="AB37" s="43">
        <f>SUM(AB31:AB36)</f>
        <v>81.963235294117666</v>
      </c>
      <c r="AC37" s="43">
        <f>SUM(AC31:AC36)</f>
        <v>60.029411764705884</v>
      </c>
      <c r="AD37" s="48">
        <f t="shared" si="14"/>
        <v>157.00000000000003</v>
      </c>
      <c r="AE37" s="43"/>
      <c r="AH37" s="48">
        <f>SUM(AH31:AH36)</f>
        <v>4.377828054298643</v>
      </c>
      <c r="AI37" s="48">
        <f>SUM(AI31:AI36)</f>
        <v>1.9803921568627449</v>
      </c>
      <c r="AJ37" s="48">
        <f>SUM(AJ31:AJ36)</f>
        <v>8.1843137254901954</v>
      </c>
      <c r="AK37" s="48">
        <f>SUM(AK31:AK36)</f>
        <v>2.6997174601151412</v>
      </c>
      <c r="AL37" s="48">
        <f>SUM(AL31:AL36)</f>
        <v>2.177433576981088</v>
      </c>
      <c r="AM37" s="46">
        <f t="shared" si="16"/>
        <v>19.419684973747813</v>
      </c>
      <c r="AN37" s="43"/>
      <c r="AP37" t="s">
        <v>210</v>
      </c>
    </row>
    <row r="38" spans="1:44" ht="15.6" x14ac:dyDescent="0.3">
      <c r="A38">
        <v>3</v>
      </c>
      <c r="B38">
        <v>2</v>
      </c>
      <c r="C38">
        <v>1</v>
      </c>
      <c r="D38">
        <v>2</v>
      </c>
      <c r="E38">
        <v>1</v>
      </c>
      <c r="F38">
        <v>2</v>
      </c>
      <c r="G38">
        <v>5</v>
      </c>
      <c r="H38">
        <v>5</v>
      </c>
      <c r="I38">
        <v>5</v>
      </c>
      <c r="J38">
        <v>3</v>
      </c>
      <c r="K38">
        <v>4</v>
      </c>
      <c r="L38">
        <v>3</v>
      </c>
      <c r="AP38" s="2" t="s">
        <v>313</v>
      </c>
      <c r="AQ38" s="50">
        <f>SQRT(AQ34/($AQ$9*$AQ$10))</f>
        <v>0.18893901216897838</v>
      </c>
      <c r="AR38" t="s">
        <v>314</v>
      </c>
    </row>
    <row r="39" spans="1:44" x14ac:dyDescent="0.3">
      <c r="A39">
        <v>6</v>
      </c>
      <c r="B39">
        <v>2</v>
      </c>
      <c r="C39">
        <v>1</v>
      </c>
      <c r="D39">
        <v>5</v>
      </c>
      <c r="E39">
        <v>2</v>
      </c>
      <c r="F39">
        <v>2</v>
      </c>
      <c r="G39">
        <v>5</v>
      </c>
      <c r="H39">
        <v>4</v>
      </c>
      <c r="I39">
        <v>4</v>
      </c>
      <c r="J39">
        <v>5</v>
      </c>
      <c r="K39">
        <v>5</v>
      </c>
      <c r="L39">
        <v>5</v>
      </c>
    </row>
    <row r="40" spans="1:44" x14ac:dyDescent="0.3">
      <c r="A40">
        <v>5</v>
      </c>
      <c r="B40">
        <v>2</v>
      </c>
      <c r="C40">
        <v>3</v>
      </c>
      <c r="D40">
        <v>5</v>
      </c>
      <c r="E40">
        <v>4</v>
      </c>
      <c r="F40">
        <v>2</v>
      </c>
      <c r="G40">
        <v>5</v>
      </c>
      <c r="H40">
        <v>5</v>
      </c>
      <c r="I40">
        <v>5</v>
      </c>
      <c r="J40">
        <v>3</v>
      </c>
      <c r="K40">
        <v>4</v>
      </c>
      <c r="L40">
        <v>4</v>
      </c>
    </row>
    <row r="41" spans="1:44" x14ac:dyDescent="0.3">
      <c r="A41">
        <v>3</v>
      </c>
      <c r="B41">
        <v>2</v>
      </c>
      <c r="C41">
        <v>2</v>
      </c>
      <c r="D41">
        <v>2</v>
      </c>
      <c r="E41">
        <v>2</v>
      </c>
      <c r="F41">
        <v>3</v>
      </c>
      <c r="G41">
        <v>2</v>
      </c>
      <c r="H41">
        <v>2</v>
      </c>
      <c r="I41">
        <v>4</v>
      </c>
      <c r="J41">
        <v>2</v>
      </c>
      <c r="K41">
        <v>4</v>
      </c>
      <c r="L41">
        <v>5</v>
      </c>
    </row>
    <row r="42" spans="1:44" x14ac:dyDescent="0.3">
      <c r="A42">
        <v>6</v>
      </c>
      <c r="B42">
        <v>2</v>
      </c>
      <c r="C42">
        <v>1</v>
      </c>
      <c r="D42">
        <v>5</v>
      </c>
      <c r="E42">
        <v>1</v>
      </c>
      <c r="F42">
        <v>1</v>
      </c>
      <c r="G42">
        <v>2</v>
      </c>
      <c r="H42">
        <v>2</v>
      </c>
      <c r="I42">
        <v>4</v>
      </c>
      <c r="J42">
        <v>2</v>
      </c>
      <c r="K42">
        <v>2</v>
      </c>
      <c r="L42">
        <v>2</v>
      </c>
    </row>
    <row r="43" spans="1:44" x14ac:dyDescent="0.3">
      <c r="A43">
        <v>5</v>
      </c>
      <c r="B43">
        <v>2</v>
      </c>
      <c r="C43">
        <v>1</v>
      </c>
      <c r="D43">
        <v>5</v>
      </c>
      <c r="E43">
        <v>1</v>
      </c>
      <c r="F43">
        <v>2</v>
      </c>
      <c r="G43">
        <v>4</v>
      </c>
      <c r="H43">
        <v>4</v>
      </c>
      <c r="I43">
        <v>4</v>
      </c>
      <c r="J43">
        <v>3</v>
      </c>
      <c r="K43">
        <v>5</v>
      </c>
      <c r="L43">
        <v>2</v>
      </c>
      <c r="P43" s="106" t="s">
        <v>195</v>
      </c>
      <c r="Q43" s="106"/>
      <c r="R43" s="106"/>
      <c r="S43" s="106"/>
      <c r="T43" s="106"/>
      <c r="U43" s="106"/>
      <c r="Y43" s="106" t="s">
        <v>212</v>
      </c>
      <c r="Z43" s="106"/>
      <c r="AA43" s="106"/>
      <c r="AB43" s="106"/>
      <c r="AC43" s="106"/>
      <c r="AD43" s="106"/>
      <c r="AG43" s="106" t="s">
        <v>209</v>
      </c>
      <c r="AH43" s="106"/>
      <c r="AI43" s="106"/>
      <c r="AJ43" s="106"/>
      <c r="AK43" s="106"/>
      <c r="AL43" s="106"/>
      <c r="AM43" s="106"/>
    </row>
    <row r="44" spans="1:44" ht="15.6" x14ac:dyDescent="0.3">
      <c r="A44">
        <v>5</v>
      </c>
      <c r="B44">
        <v>1</v>
      </c>
      <c r="C44">
        <v>1</v>
      </c>
      <c r="D44">
        <v>5</v>
      </c>
      <c r="E44">
        <v>1</v>
      </c>
      <c r="F44">
        <v>2</v>
      </c>
      <c r="G44">
        <v>4</v>
      </c>
      <c r="H44">
        <v>5</v>
      </c>
      <c r="I44">
        <v>5</v>
      </c>
      <c r="J44">
        <v>3</v>
      </c>
      <c r="K44">
        <v>3</v>
      </c>
      <c r="L44">
        <v>3</v>
      </c>
      <c r="O44" s="11" t="s">
        <v>142</v>
      </c>
      <c r="P44" s="10">
        <v>1</v>
      </c>
      <c r="Q44" s="10">
        <v>2</v>
      </c>
      <c r="R44" s="10">
        <v>3</v>
      </c>
      <c r="S44" s="10">
        <v>4</v>
      </c>
      <c r="T44" s="10">
        <v>5</v>
      </c>
      <c r="U44" s="10"/>
      <c r="V44" s="44"/>
      <c r="X44" s="11" t="s">
        <v>142</v>
      </c>
      <c r="Y44" s="10">
        <v>1</v>
      </c>
      <c r="Z44" s="10">
        <v>2</v>
      </c>
      <c r="AA44" s="10">
        <v>3</v>
      </c>
      <c r="AB44" s="10">
        <v>4</v>
      </c>
      <c r="AC44" s="10">
        <v>5</v>
      </c>
      <c r="AD44" s="10"/>
      <c r="AE44" s="52"/>
      <c r="AG44" s="11" t="s">
        <v>142</v>
      </c>
      <c r="AH44" s="10">
        <v>1</v>
      </c>
      <c r="AI44" s="10">
        <v>2</v>
      </c>
      <c r="AJ44" s="10">
        <v>3</v>
      </c>
      <c r="AK44" s="10">
        <v>4</v>
      </c>
      <c r="AL44" s="10">
        <v>5</v>
      </c>
      <c r="AM44" s="10"/>
    </row>
    <row r="45" spans="1:44" ht="15.6" x14ac:dyDescent="0.3">
      <c r="A45">
        <v>5</v>
      </c>
      <c r="B45">
        <v>2</v>
      </c>
      <c r="C45">
        <v>3</v>
      </c>
      <c r="D45">
        <v>5</v>
      </c>
      <c r="E45">
        <v>3</v>
      </c>
      <c r="F45">
        <v>2</v>
      </c>
      <c r="G45">
        <v>3</v>
      </c>
      <c r="H45">
        <v>4</v>
      </c>
      <c r="I45">
        <v>5</v>
      </c>
      <c r="J45">
        <v>2</v>
      </c>
      <c r="K45">
        <v>2</v>
      </c>
      <c r="L45">
        <v>4</v>
      </c>
      <c r="O45" s="42">
        <v>1</v>
      </c>
      <c r="P45">
        <f>COUNTIFS($A$2:$A$137,"1",$J$2:$J$137,"1")</f>
        <v>0</v>
      </c>
      <c r="Q45">
        <f>COUNTIFS($A$2:$A$137,"1",$J$2:$J$137,"2")</f>
        <v>0</v>
      </c>
      <c r="R45">
        <f>COUNTIFS($A$2:$A$137,"1",$J$2:$J$137,"3")</f>
        <v>0</v>
      </c>
      <c r="S45">
        <f>COUNTIFS($A$2:$A$137,"1",$J$2:$J$137,"4")</f>
        <v>0</v>
      </c>
      <c r="T45">
        <f>COUNTIFS($A$2:$A$137,"1",$J$2:$J$137,"5")</f>
        <v>0</v>
      </c>
      <c r="U45" s="51">
        <f>SUM(P45:T45)</f>
        <v>0</v>
      </c>
      <c r="V45" s="43"/>
      <c r="X45" s="42">
        <v>1</v>
      </c>
      <c r="Y45">
        <f>$U45*P$37/$U$37</f>
        <v>0</v>
      </c>
      <c r="Z45">
        <f>$U45*Q$37/$U$37</f>
        <v>0</v>
      </c>
      <c r="AA45">
        <f>$U45*R$37/$U$37</f>
        <v>0</v>
      </c>
      <c r="AB45">
        <f>$U45*S$37/$U$37</f>
        <v>0</v>
      </c>
      <c r="AC45">
        <f>$U45*T$37/$U$37</f>
        <v>0</v>
      </c>
      <c r="AD45" s="43">
        <f>SUM(Y45:AC45)</f>
        <v>0</v>
      </c>
      <c r="AE45" s="43"/>
      <c r="AG45" s="42">
        <v>1</v>
      </c>
      <c r="AH45" s="49">
        <v>0</v>
      </c>
      <c r="AI45" s="49">
        <v>0</v>
      </c>
      <c r="AJ45" s="49">
        <v>0</v>
      </c>
      <c r="AK45" s="49">
        <v>0</v>
      </c>
      <c r="AL45" s="49">
        <v>0</v>
      </c>
      <c r="AM45" s="45">
        <f>SUM(AH45:AL45)</f>
        <v>0</v>
      </c>
      <c r="AN45" s="44"/>
    </row>
    <row r="46" spans="1:44" ht="15.6" x14ac:dyDescent="0.3">
      <c r="A46">
        <v>3</v>
      </c>
      <c r="B46">
        <v>2</v>
      </c>
      <c r="C46">
        <v>2</v>
      </c>
      <c r="D46">
        <v>3</v>
      </c>
      <c r="E46">
        <v>2</v>
      </c>
      <c r="F46">
        <v>2</v>
      </c>
      <c r="G46">
        <v>5</v>
      </c>
      <c r="H46">
        <v>5</v>
      </c>
      <c r="I46">
        <v>5</v>
      </c>
      <c r="J46">
        <v>5</v>
      </c>
      <c r="K46">
        <v>4</v>
      </c>
      <c r="L46">
        <v>5</v>
      </c>
      <c r="O46" s="42">
        <v>2</v>
      </c>
      <c r="P46">
        <f>COUNTIFS($A$2:$A$137,"2",$J$2:$J$137,"1")</f>
        <v>0</v>
      </c>
      <c r="Q46">
        <f>COUNTIFS($A$2:$A$137,"2",$J$2:$J$137,"2")</f>
        <v>3</v>
      </c>
      <c r="R46">
        <f>COUNTIFS($A$2:$A$137,"2",$J$2:$J$137,"3")</f>
        <v>13</v>
      </c>
      <c r="S46">
        <f>COUNTIFS($A$2:$A$137,"2",$J$2:$J$137,"4")</f>
        <v>7</v>
      </c>
      <c r="T46">
        <f>COUNTIFS($A$2:$A$137,"2",$J$2:$J$137,"5")</f>
        <v>1</v>
      </c>
      <c r="U46" s="51">
        <f t="shared" ref="U46:U51" si="17">SUM(P46:T46)</f>
        <v>24</v>
      </c>
      <c r="V46" s="43"/>
      <c r="X46" s="42">
        <v>2</v>
      </c>
      <c r="Y46">
        <f>$U46*P$51/$U$51</f>
        <v>0.70588235294117652</v>
      </c>
      <c r="Z46">
        <f t="shared" ref="Z46:AC50" si="18">$U46*Q$51/$U$51</f>
        <v>4.9411764705882355</v>
      </c>
      <c r="AA46">
        <f t="shared" si="18"/>
        <v>9.7058823529411757</v>
      </c>
      <c r="AB46">
        <f t="shared" si="18"/>
        <v>6.5294117647058822</v>
      </c>
      <c r="AC46">
        <f t="shared" si="18"/>
        <v>2.1176470588235294</v>
      </c>
      <c r="AD46" s="43">
        <f t="shared" ref="AD46:AD51" si="19">SUM(Y46:AC46)</f>
        <v>24</v>
      </c>
      <c r="AE46" s="43"/>
      <c r="AG46" s="42">
        <v>2</v>
      </c>
      <c r="AH46">
        <f t="shared" ref="AH46:AL50" si="20">(P46-Y46)^2/Y46</f>
        <v>0.70588235294117652</v>
      </c>
      <c r="AI46">
        <f t="shared" si="20"/>
        <v>0.76260504201680679</v>
      </c>
      <c r="AJ46">
        <f t="shared" si="20"/>
        <v>1.1180035650623892</v>
      </c>
      <c r="AK46">
        <f t="shared" si="20"/>
        <v>3.3916269210386873E-2</v>
      </c>
      <c r="AL46">
        <f t="shared" si="20"/>
        <v>0.58986928104575165</v>
      </c>
      <c r="AM46" s="45">
        <f t="shared" ref="AM46:AM51" si="21">SUM(AH46:AL46)</f>
        <v>3.2102765102765112</v>
      </c>
      <c r="AN46" s="43"/>
      <c r="AP46" s="2" t="s">
        <v>204</v>
      </c>
      <c r="AQ46">
        <v>0.05</v>
      </c>
    </row>
    <row r="47" spans="1:44" ht="15.6" x14ac:dyDescent="0.3">
      <c r="A47">
        <v>5</v>
      </c>
      <c r="B47">
        <v>2</v>
      </c>
      <c r="C47">
        <v>3</v>
      </c>
      <c r="D47">
        <v>5</v>
      </c>
      <c r="E47">
        <v>3</v>
      </c>
      <c r="F47">
        <v>2</v>
      </c>
      <c r="G47">
        <v>4</v>
      </c>
      <c r="H47">
        <v>5</v>
      </c>
      <c r="I47">
        <v>5</v>
      </c>
      <c r="J47">
        <v>4</v>
      </c>
      <c r="K47">
        <v>4</v>
      </c>
      <c r="L47">
        <v>3</v>
      </c>
      <c r="O47" s="42">
        <v>3</v>
      </c>
      <c r="P47">
        <f>COUNTIFS($A$2:$A$137,"3",$J$2:$J$137,"1")</f>
        <v>1</v>
      </c>
      <c r="Q47">
        <f>COUNTIFS($A$2:$A$137,"3",$J$2:$J$137,"2")</f>
        <v>13</v>
      </c>
      <c r="R47">
        <f>COUNTIFS($A$2:$A$137,"3",$J$2:$J$137,"3")</f>
        <v>20</v>
      </c>
      <c r="S47">
        <f>COUNTIFS($A$2:$A$137,"3",$J$2:$J$137,"4")</f>
        <v>8</v>
      </c>
      <c r="T47">
        <f>COUNTIFS($A$2:$A$137,"3",$J$2:$J$137,"5")</f>
        <v>3</v>
      </c>
      <c r="U47" s="51">
        <f t="shared" si="17"/>
        <v>45</v>
      </c>
      <c r="V47" s="43"/>
      <c r="X47" s="42">
        <v>3</v>
      </c>
      <c r="Y47">
        <f>$U47*P$51/$U$51</f>
        <v>1.3235294117647058</v>
      </c>
      <c r="Z47">
        <f t="shared" si="18"/>
        <v>9.264705882352942</v>
      </c>
      <c r="AA47">
        <f t="shared" si="18"/>
        <v>18.198529411764707</v>
      </c>
      <c r="AB47">
        <f t="shared" si="18"/>
        <v>12.242647058823529</v>
      </c>
      <c r="AC47">
        <f t="shared" si="18"/>
        <v>3.9705882352941178</v>
      </c>
      <c r="AD47" s="43">
        <f t="shared" si="19"/>
        <v>45</v>
      </c>
      <c r="AE47" s="43"/>
      <c r="AG47" s="42">
        <v>3</v>
      </c>
      <c r="AH47">
        <f t="shared" si="20"/>
        <v>7.9084967320261421E-2</v>
      </c>
      <c r="AI47">
        <f t="shared" si="20"/>
        <v>1.5059757236227815</v>
      </c>
      <c r="AJ47">
        <f t="shared" si="20"/>
        <v>0.17832739156268554</v>
      </c>
      <c r="AK47">
        <f t="shared" si="20"/>
        <v>1.4702746864511569</v>
      </c>
      <c r="AL47">
        <f t="shared" si="20"/>
        <v>0.23725490196078436</v>
      </c>
      <c r="AM47" s="45">
        <f t="shared" si="21"/>
        <v>3.4709176709176699</v>
      </c>
      <c r="AN47" s="43"/>
      <c r="AP47" s="2" t="s">
        <v>205</v>
      </c>
      <c r="AQ47">
        <f>5*4</f>
        <v>20</v>
      </c>
    </row>
    <row r="48" spans="1:44" ht="15.6" x14ac:dyDescent="0.3">
      <c r="A48">
        <v>3</v>
      </c>
      <c r="B48">
        <v>2</v>
      </c>
      <c r="C48">
        <v>2</v>
      </c>
      <c r="D48">
        <v>2</v>
      </c>
      <c r="E48">
        <v>2</v>
      </c>
      <c r="F48">
        <v>2</v>
      </c>
      <c r="G48">
        <v>3</v>
      </c>
      <c r="H48">
        <v>5</v>
      </c>
      <c r="I48">
        <v>5</v>
      </c>
      <c r="J48">
        <v>3</v>
      </c>
      <c r="K48">
        <v>2</v>
      </c>
      <c r="L48">
        <v>2</v>
      </c>
      <c r="O48" s="42">
        <v>4</v>
      </c>
      <c r="P48">
        <f>COUNTIFS($A$2:$A$137,"4",$J$2:$J$137,"1")</f>
        <v>2</v>
      </c>
      <c r="Q48">
        <f>COUNTIFS($A$2:$A$137,"4",$J$2:$J$137,"2")</f>
        <v>4</v>
      </c>
      <c r="R48">
        <f>COUNTIFS($A$2:$A$137,"4",$J$2:$J$137,"3")</f>
        <v>6</v>
      </c>
      <c r="S48">
        <f>COUNTIFS($A$2:$A$137,"4",$J$2:$J$137,"4")</f>
        <v>8</v>
      </c>
      <c r="T48">
        <f>COUNTIFS($A$2:$A$137,"4",$J$2:$J$137,"5")</f>
        <v>2</v>
      </c>
      <c r="U48" s="51">
        <f t="shared" si="17"/>
        <v>22</v>
      </c>
      <c r="V48" s="43"/>
      <c r="X48" s="42">
        <v>4</v>
      </c>
      <c r="Y48">
        <f>$U48*P$51/$U$51</f>
        <v>0.6470588235294118</v>
      </c>
      <c r="Z48">
        <f t="shared" si="18"/>
        <v>4.5294117647058822</v>
      </c>
      <c r="AA48">
        <f t="shared" si="18"/>
        <v>8.8970588235294112</v>
      </c>
      <c r="AB48">
        <f t="shared" si="18"/>
        <v>5.9852941176470589</v>
      </c>
      <c r="AC48">
        <f t="shared" si="18"/>
        <v>1.9411764705882353</v>
      </c>
      <c r="AD48" s="43">
        <f t="shared" si="19"/>
        <v>22</v>
      </c>
      <c r="AE48" s="43"/>
      <c r="AG48" s="42">
        <v>4</v>
      </c>
      <c r="AH48">
        <f t="shared" si="20"/>
        <v>2.8288770053475938</v>
      </c>
      <c r="AI48">
        <f t="shared" si="20"/>
        <v>6.1879297173414803E-2</v>
      </c>
      <c r="AJ48">
        <f t="shared" si="20"/>
        <v>0.94333981526494859</v>
      </c>
      <c r="AK48">
        <f t="shared" si="20"/>
        <v>0.67816881052175171</v>
      </c>
      <c r="AL48">
        <f t="shared" si="20"/>
        <v>1.7825311942959009E-3</v>
      </c>
      <c r="AM48" s="45">
        <f t="shared" si="21"/>
        <v>4.514047459502005</v>
      </c>
      <c r="AN48" s="43"/>
      <c r="AP48" s="2" t="s">
        <v>202</v>
      </c>
      <c r="AQ48" s="10">
        <f>SUM(AH45:AL50)</f>
        <v>18.07153908842221</v>
      </c>
    </row>
    <row r="49" spans="1:44" ht="15.6" x14ac:dyDescent="0.3">
      <c r="A49">
        <v>2</v>
      </c>
      <c r="B49">
        <v>2</v>
      </c>
      <c r="C49">
        <v>1</v>
      </c>
      <c r="D49">
        <v>2</v>
      </c>
      <c r="E49">
        <v>1</v>
      </c>
      <c r="F49">
        <v>2</v>
      </c>
      <c r="G49">
        <v>3</v>
      </c>
      <c r="H49">
        <v>5</v>
      </c>
      <c r="I49">
        <v>4</v>
      </c>
      <c r="J49">
        <v>4</v>
      </c>
      <c r="K49">
        <v>3</v>
      </c>
      <c r="L49">
        <v>4</v>
      </c>
      <c r="O49" s="42">
        <v>5</v>
      </c>
      <c r="P49">
        <f>COUNTIFS($A$2:$A$137,"5",$J$2:$J$137,"1")</f>
        <v>1</v>
      </c>
      <c r="Q49">
        <f>COUNTIFS($A$2:$A$137,"5",$J$2:$J$137,"2")</f>
        <v>6</v>
      </c>
      <c r="R49">
        <f>COUNTIFS($A$2:$A$137,"5",$J$2:$J$137,"3")</f>
        <v>14</v>
      </c>
      <c r="S49">
        <f>COUNTIFS($A$2:$A$137,"5",$J$2:$J$137,"4")</f>
        <v>11</v>
      </c>
      <c r="T49">
        <f>COUNTIFS($A$2:$A$137,"5",$J$2:$J$137,"5")</f>
        <v>3</v>
      </c>
      <c r="U49" s="51">
        <f t="shared" si="17"/>
        <v>35</v>
      </c>
      <c r="V49" s="43"/>
      <c r="X49" s="42">
        <v>5</v>
      </c>
      <c r="Y49">
        <f>$U49*P$51/$U$51</f>
        <v>1.0294117647058822</v>
      </c>
      <c r="Z49">
        <f t="shared" si="18"/>
        <v>7.2058823529411766</v>
      </c>
      <c r="AA49">
        <f t="shared" si="18"/>
        <v>14.154411764705882</v>
      </c>
      <c r="AB49">
        <f t="shared" si="18"/>
        <v>9.5220588235294112</v>
      </c>
      <c r="AC49">
        <f t="shared" si="18"/>
        <v>3.0882352941176472</v>
      </c>
      <c r="AD49" s="43">
        <f t="shared" si="19"/>
        <v>35</v>
      </c>
      <c r="AE49" s="43"/>
      <c r="AG49" s="42">
        <v>5</v>
      </c>
      <c r="AH49">
        <f t="shared" si="20"/>
        <v>8.403361344537756E-4</v>
      </c>
      <c r="AI49">
        <f t="shared" si="20"/>
        <v>0.2018007202881153</v>
      </c>
      <c r="AJ49">
        <f t="shared" si="20"/>
        <v>1.6844919786096232E-3</v>
      </c>
      <c r="AK49">
        <f t="shared" si="20"/>
        <v>0.22939473086531931</v>
      </c>
      <c r="AL49">
        <f t="shared" si="20"/>
        <v>2.5210084033613521E-3</v>
      </c>
      <c r="AM49" s="45">
        <f t="shared" si="21"/>
        <v>0.43624128766985937</v>
      </c>
      <c r="AN49" s="43"/>
      <c r="AP49" s="2" t="s">
        <v>203</v>
      </c>
      <c r="AQ49" s="50">
        <v>31.41</v>
      </c>
    </row>
    <row r="50" spans="1:44" ht="15.6" x14ac:dyDescent="0.3">
      <c r="A50">
        <v>5</v>
      </c>
      <c r="B50">
        <v>2</v>
      </c>
      <c r="C50">
        <v>2</v>
      </c>
      <c r="D50">
        <v>5</v>
      </c>
      <c r="E50">
        <v>2</v>
      </c>
      <c r="F50">
        <v>3</v>
      </c>
      <c r="G50">
        <v>3</v>
      </c>
      <c r="H50">
        <v>3</v>
      </c>
      <c r="I50">
        <v>3</v>
      </c>
      <c r="J50">
        <v>2</v>
      </c>
      <c r="K50">
        <v>3</v>
      </c>
      <c r="L50">
        <v>3</v>
      </c>
      <c r="O50" s="42">
        <v>6</v>
      </c>
      <c r="P50">
        <f>COUNTIFS($A$2:$A$137,"6",$J$2:$J$137,"1")</f>
        <v>0</v>
      </c>
      <c r="Q50">
        <f>COUNTIFS($A$2:$A$137,"6",$J$2:$J$137,"2")</f>
        <v>2</v>
      </c>
      <c r="R50">
        <f>COUNTIFS($A$2:$A$137,"6",$J$2:$J$137,"3")</f>
        <v>2</v>
      </c>
      <c r="S50">
        <f>COUNTIFS($A$2:$A$137,"6",$J$2:$J$137,"4")</f>
        <v>3</v>
      </c>
      <c r="T50">
        <f>COUNTIFS($A$2:$A$137,"6",$J$2:$J$137,"5")</f>
        <v>3</v>
      </c>
      <c r="U50" s="51">
        <f t="shared" si="17"/>
        <v>10</v>
      </c>
      <c r="V50" s="43"/>
      <c r="X50" s="42">
        <v>6</v>
      </c>
      <c r="Y50">
        <f>$U50*P$51/$U$51</f>
        <v>0.29411764705882354</v>
      </c>
      <c r="Z50">
        <f t="shared" si="18"/>
        <v>2.0588235294117645</v>
      </c>
      <c r="AA50">
        <f t="shared" si="18"/>
        <v>4.0441176470588234</v>
      </c>
      <c r="AB50">
        <f t="shared" si="18"/>
        <v>2.7205882352941178</v>
      </c>
      <c r="AC50">
        <f t="shared" si="18"/>
        <v>0.88235294117647056</v>
      </c>
      <c r="AD50" s="43">
        <f t="shared" si="19"/>
        <v>10</v>
      </c>
      <c r="AE50" s="43"/>
      <c r="AG50" s="42">
        <v>6</v>
      </c>
      <c r="AH50">
        <f t="shared" si="20"/>
        <v>0.29411764705882354</v>
      </c>
      <c r="AI50">
        <f t="shared" si="20"/>
        <v>1.6806722689075512E-3</v>
      </c>
      <c r="AJ50">
        <f t="shared" si="20"/>
        <v>1.0332085561497324</v>
      </c>
      <c r="AK50">
        <f t="shared" si="20"/>
        <v>2.8696343402225735E-2</v>
      </c>
      <c r="AL50">
        <f t="shared" si="20"/>
        <v>5.0823529411764712</v>
      </c>
      <c r="AM50" s="45">
        <f t="shared" si="21"/>
        <v>6.4400561600561606</v>
      </c>
      <c r="AN50" s="43"/>
      <c r="AP50" s="2" t="s">
        <v>206</v>
      </c>
      <c r="AQ50">
        <f>_xlfn.CHISQ.DIST.RT(AQ48,AQ47)</f>
        <v>0.58269551658245677</v>
      </c>
    </row>
    <row r="51" spans="1:44" ht="18" x14ac:dyDescent="0.35">
      <c r="A51">
        <v>5</v>
      </c>
      <c r="B51">
        <v>2</v>
      </c>
      <c r="C51">
        <v>1</v>
      </c>
      <c r="D51">
        <v>4</v>
      </c>
      <c r="E51">
        <v>1</v>
      </c>
      <c r="F51">
        <v>2</v>
      </c>
      <c r="G51">
        <v>4</v>
      </c>
      <c r="H51">
        <v>3</v>
      </c>
      <c r="I51">
        <v>3</v>
      </c>
      <c r="J51">
        <v>3</v>
      </c>
      <c r="K51">
        <v>3</v>
      </c>
      <c r="L51">
        <v>2</v>
      </c>
      <c r="P51" s="43">
        <f>SUM(P45:P50)</f>
        <v>4</v>
      </c>
      <c r="Q51" s="43">
        <f>SUM(Q45:Q50)</f>
        <v>28</v>
      </c>
      <c r="R51" s="43">
        <f>SUM(R45:R50)</f>
        <v>55</v>
      </c>
      <c r="S51" s="43">
        <f>SUM(S45:S50)</f>
        <v>37</v>
      </c>
      <c r="T51" s="43">
        <f>SUM(T45:T50)</f>
        <v>12</v>
      </c>
      <c r="U51" s="45">
        <f t="shared" si="17"/>
        <v>136</v>
      </c>
      <c r="V51" s="46"/>
      <c r="Y51" s="43">
        <f>SUM(Y45:Y50)</f>
        <v>3.9999999999999996</v>
      </c>
      <c r="Z51" s="43">
        <f>SUM(Z45:Z50)</f>
        <v>28</v>
      </c>
      <c r="AA51" s="43">
        <f>SUM(AA45:AA50)</f>
        <v>55.000000000000007</v>
      </c>
      <c r="AB51" s="43">
        <f>SUM(AB45:AB50)</f>
        <v>37</v>
      </c>
      <c r="AC51" s="43">
        <f>SUM(AC45:AC50)</f>
        <v>12</v>
      </c>
      <c r="AD51" s="48">
        <f t="shared" si="19"/>
        <v>136</v>
      </c>
      <c r="AE51" s="43"/>
      <c r="AH51" s="48">
        <f>SUM(AH45:AH50)</f>
        <v>3.9088023088023087</v>
      </c>
      <c r="AI51" s="48">
        <f>SUM(AI45:AI50)</f>
        <v>2.5339414553700261</v>
      </c>
      <c r="AJ51" s="48">
        <f>SUM(AJ45:AJ50)</f>
        <v>3.2745638200183649</v>
      </c>
      <c r="AK51" s="48">
        <f>SUM(AK45:AK50)</f>
        <v>2.4404508404508407</v>
      </c>
      <c r="AL51" s="48">
        <f>SUM(AL45:AL50)</f>
        <v>5.9137806637806642</v>
      </c>
      <c r="AM51" s="46">
        <f t="shared" si="21"/>
        <v>18.071539088422202</v>
      </c>
      <c r="AN51" s="43"/>
      <c r="AP51" t="s">
        <v>210</v>
      </c>
    </row>
    <row r="52" spans="1:44" ht="15.6" x14ac:dyDescent="0.3">
      <c r="A52">
        <v>3</v>
      </c>
      <c r="B52">
        <v>2</v>
      </c>
      <c r="C52">
        <v>1</v>
      </c>
      <c r="D52">
        <v>2</v>
      </c>
      <c r="E52">
        <v>2</v>
      </c>
      <c r="F52">
        <v>2</v>
      </c>
      <c r="G52">
        <v>3</v>
      </c>
      <c r="H52">
        <v>4</v>
      </c>
      <c r="I52">
        <v>5</v>
      </c>
      <c r="J52">
        <v>2</v>
      </c>
      <c r="K52">
        <v>5</v>
      </c>
      <c r="L52">
        <v>4</v>
      </c>
      <c r="AP52" s="2" t="s">
        <v>313</v>
      </c>
      <c r="AQ52" s="50">
        <f>SQRT(AQ48/($AQ$9*$AQ$10))</f>
        <v>0.1822628348604409</v>
      </c>
      <c r="AR52" t="s">
        <v>314</v>
      </c>
    </row>
    <row r="53" spans="1:44" x14ac:dyDescent="0.3">
      <c r="A53">
        <v>3</v>
      </c>
      <c r="B53">
        <v>2</v>
      </c>
      <c r="C53">
        <v>2</v>
      </c>
      <c r="D53">
        <v>2</v>
      </c>
      <c r="E53">
        <v>2</v>
      </c>
      <c r="F53">
        <v>2</v>
      </c>
      <c r="G53">
        <v>3</v>
      </c>
      <c r="H53">
        <v>3</v>
      </c>
      <c r="I53">
        <v>5</v>
      </c>
      <c r="J53">
        <v>3</v>
      </c>
      <c r="K53">
        <v>3</v>
      </c>
      <c r="L53">
        <v>3</v>
      </c>
    </row>
    <row r="54" spans="1:44" x14ac:dyDescent="0.3">
      <c r="A54">
        <v>5</v>
      </c>
      <c r="B54">
        <v>2</v>
      </c>
      <c r="C54">
        <v>1</v>
      </c>
      <c r="D54">
        <v>4</v>
      </c>
      <c r="E54">
        <v>1</v>
      </c>
      <c r="F54">
        <v>2</v>
      </c>
      <c r="G54">
        <v>4</v>
      </c>
      <c r="H54">
        <v>5</v>
      </c>
      <c r="I54">
        <v>4</v>
      </c>
      <c r="J54">
        <v>4</v>
      </c>
      <c r="K54">
        <v>4</v>
      </c>
      <c r="L54">
        <v>4</v>
      </c>
    </row>
    <row r="55" spans="1:44" x14ac:dyDescent="0.3">
      <c r="A55">
        <v>3</v>
      </c>
      <c r="B55">
        <v>2</v>
      </c>
      <c r="C55">
        <v>1</v>
      </c>
      <c r="D55">
        <v>2</v>
      </c>
      <c r="E55">
        <v>1</v>
      </c>
      <c r="F55">
        <v>2</v>
      </c>
      <c r="G55">
        <v>3</v>
      </c>
      <c r="H55">
        <v>5</v>
      </c>
      <c r="I55">
        <v>4</v>
      </c>
      <c r="J55">
        <v>3</v>
      </c>
      <c r="K55">
        <v>3</v>
      </c>
      <c r="L55">
        <v>4</v>
      </c>
    </row>
    <row r="56" spans="1:44" x14ac:dyDescent="0.3">
      <c r="A56">
        <v>5</v>
      </c>
      <c r="B56">
        <v>2</v>
      </c>
      <c r="C56">
        <v>2</v>
      </c>
      <c r="D56">
        <v>5</v>
      </c>
      <c r="E56">
        <v>4</v>
      </c>
      <c r="F56">
        <v>2</v>
      </c>
      <c r="G56">
        <v>3</v>
      </c>
      <c r="H56">
        <v>4</v>
      </c>
      <c r="I56">
        <v>4</v>
      </c>
      <c r="J56">
        <v>2</v>
      </c>
      <c r="K56">
        <v>3</v>
      </c>
      <c r="L56">
        <v>3</v>
      </c>
    </row>
    <row r="57" spans="1:44" x14ac:dyDescent="0.3">
      <c r="A57">
        <v>3</v>
      </c>
      <c r="B57">
        <v>2</v>
      </c>
      <c r="C57">
        <v>2</v>
      </c>
      <c r="D57">
        <v>1</v>
      </c>
      <c r="E57">
        <v>2</v>
      </c>
      <c r="F57">
        <v>3</v>
      </c>
      <c r="G57">
        <v>2</v>
      </c>
      <c r="H57">
        <v>3</v>
      </c>
      <c r="I57">
        <v>4</v>
      </c>
      <c r="J57">
        <v>2</v>
      </c>
      <c r="K57">
        <v>3</v>
      </c>
      <c r="L57">
        <v>3</v>
      </c>
      <c r="P57" s="106" t="s">
        <v>196</v>
      </c>
      <c r="Q57" s="106"/>
      <c r="R57" s="106"/>
      <c r="S57" s="106"/>
      <c r="T57" s="106"/>
      <c r="U57" s="106"/>
    </row>
    <row r="58" spans="1:44" ht="15.6" x14ac:dyDescent="0.3">
      <c r="A58">
        <v>2</v>
      </c>
      <c r="B58">
        <v>2</v>
      </c>
      <c r="C58">
        <v>2</v>
      </c>
      <c r="D58">
        <v>1</v>
      </c>
      <c r="E58">
        <v>2</v>
      </c>
      <c r="F58">
        <v>2</v>
      </c>
      <c r="G58">
        <v>4</v>
      </c>
      <c r="H58">
        <v>4</v>
      </c>
      <c r="I58">
        <v>5</v>
      </c>
      <c r="J58">
        <v>3</v>
      </c>
      <c r="K58">
        <v>5</v>
      </c>
      <c r="L58">
        <v>4</v>
      </c>
      <c r="O58" s="11" t="s">
        <v>142</v>
      </c>
      <c r="P58" s="10">
        <v>1</v>
      </c>
      <c r="Q58" s="10">
        <v>2</v>
      </c>
      <c r="R58" s="10">
        <v>3</v>
      </c>
      <c r="S58" s="10">
        <v>4</v>
      </c>
      <c r="T58" s="10">
        <v>5</v>
      </c>
      <c r="U58" s="10"/>
      <c r="V58" s="44"/>
      <c r="Y58" s="106" t="s">
        <v>213</v>
      </c>
      <c r="Z58" s="106"/>
      <c r="AA58" s="106"/>
      <c r="AB58" s="106"/>
      <c r="AC58" s="106"/>
      <c r="AD58" s="106"/>
      <c r="AG58" s="106" t="s">
        <v>213</v>
      </c>
      <c r="AH58" s="106"/>
      <c r="AI58" s="106"/>
      <c r="AJ58" s="106"/>
      <c r="AK58" s="106"/>
      <c r="AL58" s="106"/>
      <c r="AM58" s="106"/>
    </row>
    <row r="59" spans="1:44" ht="15.6" x14ac:dyDescent="0.3">
      <c r="A59">
        <v>2</v>
      </c>
      <c r="B59">
        <v>2</v>
      </c>
      <c r="C59">
        <v>1</v>
      </c>
      <c r="D59">
        <v>2</v>
      </c>
      <c r="E59">
        <v>1</v>
      </c>
      <c r="F59">
        <v>2</v>
      </c>
      <c r="G59">
        <v>3</v>
      </c>
      <c r="H59">
        <v>4</v>
      </c>
      <c r="I59">
        <v>5</v>
      </c>
      <c r="J59">
        <v>3</v>
      </c>
      <c r="K59">
        <v>5</v>
      </c>
      <c r="L59">
        <v>2</v>
      </c>
      <c r="O59" s="42">
        <v>1</v>
      </c>
      <c r="P59">
        <f>COUNTIFS($A$2:$A$137,"1",$K$2:$K$137,"1")</f>
        <v>0</v>
      </c>
      <c r="Q59">
        <f>COUNTIFS($A$2:$A$137,"1",$K$2:$K$137,"2")</f>
        <v>0</v>
      </c>
      <c r="R59">
        <f>COUNTIFS($A$2:$A$137,"1",$K$2:$K$137,"3")</f>
        <v>0</v>
      </c>
      <c r="S59">
        <f>COUNTIFS($A$2:$A$137,"1",$K$2:$K$137,"4")</f>
        <v>0</v>
      </c>
      <c r="T59">
        <f>COUNTIFS($A$2:$A$137,"1",$K$2:$K$137,"5")</f>
        <v>0</v>
      </c>
      <c r="U59" s="53">
        <f>SUM(P59:T59)</f>
        <v>0</v>
      </c>
      <c r="V59" s="43"/>
      <c r="X59" s="11" t="s">
        <v>142</v>
      </c>
      <c r="Y59" s="10">
        <v>1</v>
      </c>
      <c r="Z59" s="10">
        <v>2</v>
      </c>
      <c r="AA59" s="10">
        <v>3</v>
      </c>
      <c r="AB59" s="10">
        <v>4</v>
      </c>
      <c r="AC59" s="10">
        <v>5</v>
      </c>
      <c r="AD59" s="10"/>
      <c r="AE59" s="52"/>
      <c r="AG59" s="11" t="s">
        <v>142</v>
      </c>
      <c r="AH59" s="10">
        <v>1</v>
      </c>
      <c r="AI59" s="10">
        <v>2</v>
      </c>
      <c r="AJ59" s="10">
        <v>3</v>
      </c>
      <c r="AK59" s="10">
        <v>4</v>
      </c>
      <c r="AL59" s="10">
        <v>5</v>
      </c>
      <c r="AM59" s="10"/>
    </row>
    <row r="60" spans="1:44" ht="15.6" x14ac:dyDescent="0.3">
      <c r="A60">
        <v>3</v>
      </c>
      <c r="B60">
        <v>2</v>
      </c>
      <c r="C60">
        <v>2</v>
      </c>
      <c r="D60">
        <v>2</v>
      </c>
      <c r="E60">
        <v>2</v>
      </c>
      <c r="F60">
        <v>2</v>
      </c>
      <c r="G60">
        <v>3</v>
      </c>
      <c r="H60">
        <v>4</v>
      </c>
      <c r="I60">
        <v>4</v>
      </c>
      <c r="J60">
        <v>3</v>
      </c>
      <c r="K60">
        <v>3</v>
      </c>
      <c r="L60">
        <v>3</v>
      </c>
      <c r="O60" s="42">
        <v>2</v>
      </c>
      <c r="P60">
        <f>COUNTIFS($A$2:$A$137,"2",$K$2:$K$137,"1")</f>
        <v>0</v>
      </c>
      <c r="Q60">
        <f>COUNTIFS($A$2:$A$137,"2",$K$2:$K$137,"2")</f>
        <v>1</v>
      </c>
      <c r="R60">
        <f>COUNTIFS($A$2:$A$137,"2",$K$2:$K$137,"3")</f>
        <v>5</v>
      </c>
      <c r="S60">
        <f>COUNTIFS($A$2:$A$137,"2",$K$2:$K$137,"4")</f>
        <v>11</v>
      </c>
      <c r="T60">
        <f>COUNTIFS($A$2:$A$137,"2",$K$2:$K$137,"5")</f>
        <v>7</v>
      </c>
      <c r="U60" s="53">
        <f t="shared" ref="U60:U65" si="22">SUM(P60:T60)</f>
        <v>24</v>
      </c>
      <c r="V60" s="43"/>
      <c r="X60" s="42">
        <v>1</v>
      </c>
      <c r="Y60">
        <f t="shared" ref="Y60:Y65" si="23">$U59*P$65/$U$65</f>
        <v>0</v>
      </c>
      <c r="Z60">
        <f t="shared" ref="Z60:AC65" si="24">$U59*Q$65/$U$65</f>
        <v>0</v>
      </c>
      <c r="AA60">
        <f t="shared" si="24"/>
        <v>0</v>
      </c>
      <c r="AB60">
        <f t="shared" si="24"/>
        <v>0</v>
      </c>
      <c r="AC60">
        <f t="shared" si="24"/>
        <v>0</v>
      </c>
      <c r="AD60" s="43">
        <f>SUM(Y60:AC60)</f>
        <v>0</v>
      </c>
      <c r="AE60" s="43"/>
      <c r="AG60" s="42">
        <v>1</v>
      </c>
      <c r="AH60" s="49">
        <v>0</v>
      </c>
      <c r="AI60" s="49">
        <v>0</v>
      </c>
      <c r="AJ60" s="49">
        <v>0</v>
      </c>
      <c r="AK60" s="49">
        <v>0</v>
      </c>
      <c r="AL60" s="49">
        <v>0</v>
      </c>
      <c r="AM60" s="45">
        <f>SUM(AH60:AL60)</f>
        <v>0</v>
      </c>
      <c r="AN60" s="44"/>
    </row>
    <row r="61" spans="1:44" ht="15.6" x14ac:dyDescent="0.3">
      <c r="A61">
        <v>4</v>
      </c>
      <c r="B61">
        <v>2</v>
      </c>
      <c r="C61">
        <v>1</v>
      </c>
      <c r="D61">
        <v>4</v>
      </c>
      <c r="E61">
        <v>1</v>
      </c>
      <c r="F61">
        <v>2</v>
      </c>
      <c r="G61">
        <v>4</v>
      </c>
      <c r="H61">
        <v>4</v>
      </c>
      <c r="I61">
        <v>5</v>
      </c>
      <c r="J61">
        <v>2</v>
      </c>
      <c r="K61">
        <v>4</v>
      </c>
      <c r="L61">
        <v>4</v>
      </c>
      <c r="O61" s="42">
        <v>3</v>
      </c>
      <c r="P61">
        <f>COUNTIFS($A$2:$A$137,"3",$K$2:$K$137,"1")</f>
        <v>0</v>
      </c>
      <c r="Q61">
        <f>COUNTIFS($A$2:$A$137,"3",$K$2:$K$137,"2")</f>
        <v>6</v>
      </c>
      <c r="R61">
        <f>COUNTIFS($A$2:$A$137,"3",$K$2:$K$137,"3")</f>
        <v>9</v>
      </c>
      <c r="S61">
        <f>COUNTIFS($A$2:$A$137,"3",$K$2:$K$137,"4")</f>
        <v>22</v>
      </c>
      <c r="T61">
        <f>COUNTIFS($A$2:$A$137,"3",$K$2:$K$137,"5")</f>
        <v>8</v>
      </c>
      <c r="U61" s="53">
        <f t="shared" si="22"/>
        <v>45</v>
      </c>
      <c r="V61" s="43"/>
      <c r="X61" s="42">
        <v>2</v>
      </c>
      <c r="Y61">
        <f t="shared" si="23"/>
        <v>0</v>
      </c>
      <c r="Z61">
        <f t="shared" si="24"/>
        <v>3</v>
      </c>
      <c r="AA61">
        <f t="shared" si="24"/>
        <v>4.9411764705882355</v>
      </c>
      <c r="AB61">
        <f t="shared" si="24"/>
        <v>11.117647058823529</v>
      </c>
      <c r="AC61">
        <f t="shared" si="24"/>
        <v>4.9411764705882355</v>
      </c>
      <c r="AD61" s="43">
        <f t="shared" ref="AD61:AD66" si="25">SUM(Y61:AC61)</f>
        <v>24</v>
      </c>
      <c r="AE61" s="43"/>
      <c r="AG61" s="42">
        <v>2</v>
      </c>
      <c r="AH61" s="49">
        <v>0</v>
      </c>
      <c r="AI61">
        <f t="shared" ref="AI61:AL65" si="26">(Q61-Z61)^2/Z61</f>
        <v>3</v>
      </c>
      <c r="AJ61">
        <f t="shared" si="26"/>
        <v>3.3340336134453774</v>
      </c>
      <c r="AK61">
        <f t="shared" si="26"/>
        <v>10.652038593215064</v>
      </c>
      <c r="AL61">
        <f t="shared" si="26"/>
        <v>1.8935574229691874</v>
      </c>
      <c r="AM61" s="45">
        <f t="shared" ref="AM61:AM66" si="27">SUM(AH61:AL61)</f>
        <v>18.87962962962963</v>
      </c>
      <c r="AN61" s="43"/>
      <c r="AP61" s="2" t="s">
        <v>204</v>
      </c>
      <c r="AQ61">
        <v>0.05</v>
      </c>
    </row>
    <row r="62" spans="1:44" ht="15.6" x14ac:dyDescent="0.3">
      <c r="A62">
        <v>5</v>
      </c>
      <c r="B62">
        <v>2</v>
      </c>
      <c r="C62">
        <v>1</v>
      </c>
      <c r="D62">
        <v>5</v>
      </c>
      <c r="E62">
        <v>1</v>
      </c>
      <c r="F62">
        <v>2</v>
      </c>
      <c r="G62">
        <v>5</v>
      </c>
      <c r="H62">
        <v>5</v>
      </c>
      <c r="I62">
        <v>4</v>
      </c>
      <c r="J62">
        <v>3</v>
      </c>
      <c r="K62">
        <v>4</v>
      </c>
      <c r="L62">
        <v>1</v>
      </c>
      <c r="O62" s="42">
        <v>4</v>
      </c>
      <c r="P62">
        <f>COUNTIFS($A$2:$A$137,"4",$K$2:$K$137,"1")</f>
        <v>0</v>
      </c>
      <c r="Q62">
        <f>COUNTIFS($A$2:$A$137,"4",$K$2:$K$137,"2")</f>
        <v>4</v>
      </c>
      <c r="R62">
        <f>COUNTIFS($A$2:$A$137,"4",$K$2:$K$137,"3")</f>
        <v>6</v>
      </c>
      <c r="S62">
        <f>COUNTIFS($A$2:$A$137,"4",$K$2:$K$137,"4")</f>
        <v>7</v>
      </c>
      <c r="T62">
        <f>COUNTIFS($A$2:$A$137,"4",$K$2:$K$137,"5")</f>
        <v>5</v>
      </c>
      <c r="U62" s="53">
        <f t="shared" si="22"/>
        <v>22</v>
      </c>
      <c r="V62" s="43"/>
      <c r="X62" s="42">
        <v>3</v>
      </c>
      <c r="Y62">
        <f t="shared" si="23"/>
        <v>0</v>
      </c>
      <c r="Z62">
        <f t="shared" si="24"/>
        <v>5.625</v>
      </c>
      <c r="AA62">
        <f t="shared" si="24"/>
        <v>9.264705882352942</v>
      </c>
      <c r="AB62">
        <f t="shared" si="24"/>
        <v>20.845588235294116</v>
      </c>
      <c r="AC62">
        <f t="shared" si="24"/>
        <v>9.264705882352942</v>
      </c>
      <c r="AD62" s="43">
        <f t="shared" si="25"/>
        <v>45</v>
      </c>
      <c r="AE62" s="43"/>
      <c r="AG62" s="42">
        <v>3</v>
      </c>
      <c r="AH62" s="49">
        <v>0</v>
      </c>
      <c r="AI62">
        <f t="shared" si="26"/>
        <v>0.46944444444444444</v>
      </c>
      <c r="AJ62">
        <f t="shared" si="26"/>
        <v>1.1504201680672272</v>
      </c>
      <c r="AK62">
        <f t="shared" si="26"/>
        <v>9.1962055192447334</v>
      </c>
      <c r="AL62">
        <f t="shared" si="26"/>
        <v>1.9631185807656404</v>
      </c>
      <c r="AM62" s="45">
        <f t="shared" si="27"/>
        <v>12.779188712522044</v>
      </c>
      <c r="AN62" s="43"/>
      <c r="AP62" s="2" t="s">
        <v>205</v>
      </c>
      <c r="AQ62">
        <f>5*4</f>
        <v>20</v>
      </c>
    </row>
    <row r="63" spans="1:44" ht="15.6" x14ac:dyDescent="0.3">
      <c r="A63">
        <v>2</v>
      </c>
      <c r="B63">
        <v>2</v>
      </c>
      <c r="C63">
        <v>1</v>
      </c>
      <c r="D63">
        <v>2</v>
      </c>
      <c r="E63">
        <v>1</v>
      </c>
      <c r="F63">
        <v>3</v>
      </c>
      <c r="G63">
        <v>2</v>
      </c>
      <c r="H63">
        <v>5</v>
      </c>
      <c r="I63">
        <v>3</v>
      </c>
      <c r="J63">
        <v>3</v>
      </c>
      <c r="K63">
        <v>4</v>
      </c>
      <c r="L63">
        <v>2</v>
      </c>
      <c r="O63" s="42">
        <v>5</v>
      </c>
      <c r="P63">
        <f>COUNTIFS($A$2:$A$137,"5",$K$2:$K$137,"1")</f>
        <v>0</v>
      </c>
      <c r="Q63">
        <f>COUNTIFS($A$2:$A$137,"5",$K$2:$K$137,"2")</f>
        <v>5</v>
      </c>
      <c r="R63">
        <f>COUNTIFS($A$2:$A$137,"5",$K$2:$K$137,"3")</f>
        <v>8</v>
      </c>
      <c r="S63">
        <f>COUNTIFS($A$2:$A$137,"5",$K$2:$K$137,"4")</f>
        <v>17</v>
      </c>
      <c r="T63">
        <f>COUNTIFS($A$2:$A$137,"5",$K$2:$K$137,"5")</f>
        <v>5</v>
      </c>
      <c r="U63" s="53">
        <f t="shared" si="22"/>
        <v>35</v>
      </c>
      <c r="V63" s="43"/>
      <c r="X63" s="42">
        <v>4</v>
      </c>
      <c r="Y63">
        <f t="shared" si="23"/>
        <v>0</v>
      </c>
      <c r="Z63">
        <f t="shared" si="24"/>
        <v>2.75</v>
      </c>
      <c r="AA63">
        <f t="shared" si="24"/>
        <v>4.5294117647058822</v>
      </c>
      <c r="AB63">
        <f t="shared" si="24"/>
        <v>10.191176470588236</v>
      </c>
      <c r="AC63">
        <f t="shared" si="24"/>
        <v>4.5294117647058822</v>
      </c>
      <c r="AD63" s="43">
        <f t="shared" si="25"/>
        <v>22</v>
      </c>
      <c r="AE63" s="43"/>
      <c r="AG63" s="42">
        <v>4</v>
      </c>
      <c r="AH63" s="49">
        <v>0</v>
      </c>
      <c r="AI63">
        <f t="shared" si="26"/>
        <v>1.8409090909090908</v>
      </c>
      <c r="AJ63">
        <f t="shared" si="26"/>
        <v>2.6592818945760124</v>
      </c>
      <c r="AK63">
        <f t="shared" si="26"/>
        <v>4.5490408284525925</v>
      </c>
      <c r="AL63">
        <f t="shared" si="26"/>
        <v>4.8892284186401853E-2</v>
      </c>
      <c r="AM63" s="45">
        <f t="shared" si="27"/>
        <v>9.0981240981240958</v>
      </c>
      <c r="AN63" s="43"/>
      <c r="AP63" s="2" t="s">
        <v>202</v>
      </c>
      <c r="AQ63" s="10">
        <f>SUM(AH60:AL65)</f>
        <v>1647.0549016239493</v>
      </c>
      <c r="AR63" t="s">
        <v>315</v>
      </c>
    </row>
    <row r="64" spans="1:44" ht="15.6" x14ac:dyDescent="0.3">
      <c r="A64">
        <v>5</v>
      </c>
      <c r="B64">
        <v>2</v>
      </c>
      <c r="C64">
        <v>3</v>
      </c>
      <c r="D64">
        <v>4</v>
      </c>
      <c r="E64">
        <v>3</v>
      </c>
      <c r="F64">
        <v>2</v>
      </c>
      <c r="G64">
        <v>4</v>
      </c>
      <c r="H64">
        <v>4</v>
      </c>
      <c r="I64">
        <v>5</v>
      </c>
      <c r="J64">
        <v>4</v>
      </c>
      <c r="K64">
        <v>4</v>
      </c>
      <c r="L64">
        <v>5</v>
      </c>
      <c r="O64" s="42">
        <v>6</v>
      </c>
      <c r="P64">
        <f>COUNTIFS($A$2:$A$137,"6",$K$2:$K$137,"1")</f>
        <v>0</v>
      </c>
      <c r="Q64">
        <f>COUNTIFS($A$2:$A$137,"6",$K$2:$K$137,"2")</f>
        <v>1</v>
      </c>
      <c r="R64">
        <f>COUNTIFS($A$2:$A$137,"6",$K$2:$K$137,"3")</f>
        <v>0</v>
      </c>
      <c r="S64">
        <f>COUNTIFS($A$2:$A$137,"6",$K$2:$K$137,"4")</f>
        <v>6</v>
      </c>
      <c r="T64">
        <f>COUNTIFS($A$2:$A$137,"6",$K$2:$K$137,"5")</f>
        <v>3</v>
      </c>
      <c r="U64" s="53">
        <f t="shared" si="22"/>
        <v>10</v>
      </c>
      <c r="V64" s="43"/>
      <c r="X64" s="42">
        <v>5</v>
      </c>
      <c r="Y64">
        <f t="shared" si="23"/>
        <v>0</v>
      </c>
      <c r="Z64">
        <f t="shared" si="24"/>
        <v>4.375</v>
      </c>
      <c r="AA64">
        <f t="shared" si="24"/>
        <v>7.2058823529411766</v>
      </c>
      <c r="AB64">
        <f t="shared" si="24"/>
        <v>16.213235294117649</v>
      </c>
      <c r="AC64">
        <f t="shared" si="24"/>
        <v>7.2058823529411766</v>
      </c>
      <c r="AD64" s="43">
        <f t="shared" si="25"/>
        <v>35</v>
      </c>
      <c r="AE64" s="43"/>
      <c r="AG64" s="42">
        <v>5</v>
      </c>
      <c r="AH64" s="49">
        <v>0</v>
      </c>
      <c r="AI64">
        <f t="shared" si="26"/>
        <v>2.6035714285714286</v>
      </c>
      <c r="AJ64">
        <f t="shared" si="26"/>
        <v>7.2058823529411766</v>
      </c>
      <c r="AK64">
        <f t="shared" si="26"/>
        <v>6.4336434573829546</v>
      </c>
      <c r="AL64">
        <f t="shared" si="26"/>
        <v>2.4548619447779112</v>
      </c>
      <c r="AM64" s="45">
        <f t="shared" si="27"/>
        <v>18.697959183673468</v>
      </c>
      <c r="AN64" s="43"/>
      <c r="AP64" s="2" t="s">
        <v>203</v>
      </c>
      <c r="AQ64" s="50">
        <v>31.41</v>
      </c>
    </row>
    <row r="65" spans="1:44" ht="18" x14ac:dyDescent="0.35">
      <c r="A65">
        <v>2</v>
      </c>
      <c r="B65">
        <v>2</v>
      </c>
      <c r="C65">
        <v>2</v>
      </c>
      <c r="D65">
        <v>1</v>
      </c>
      <c r="E65">
        <v>2</v>
      </c>
      <c r="F65">
        <v>2</v>
      </c>
      <c r="G65">
        <v>4</v>
      </c>
      <c r="H65">
        <v>5</v>
      </c>
      <c r="I65">
        <v>5</v>
      </c>
      <c r="J65">
        <v>3</v>
      </c>
      <c r="K65">
        <v>5</v>
      </c>
      <c r="L65">
        <v>4</v>
      </c>
      <c r="P65" s="43">
        <f>SUM(P59:P64)</f>
        <v>0</v>
      </c>
      <c r="Q65" s="43">
        <f>SUM(Q59:Q64)</f>
        <v>17</v>
      </c>
      <c r="R65" s="43">
        <f>SUM(R59:R64)</f>
        <v>28</v>
      </c>
      <c r="S65" s="43">
        <f>SUM(S59:S64)</f>
        <v>63</v>
      </c>
      <c r="T65" s="43">
        <f>SUM(T59:T64)</f>
        <v>28</v>
      </c>
      <c r="U65" s="48">
        <f t="shared" si="22"/>
        <v>136</v>
      </c>
      <c r="V65" s="46"/>
      <c r="X65" s="42">
        <v>6</v>
      </c>
      <c r="Y65">
        <f t="shared" si="23"/>
        <v>0</v>
      </c>
      <c r="Z65">
        <f t="shared" si="24"/>
        <v>1.25</v>
      </c>
      <c r="AA65">
        <f t="shared" si="24"/>
        <v>2.0588235294117645</v>
      </c>
      <c r="AB65">
        <f t="shared" si="24"/>
        <v>4.632352941176471</v>
      </c>
      <c r="AC65">
        <f t="shared" si="24"/>
        <v>2.0588235294117645</v>
      </c>
      <c r="AD65" s="43">
        <f t="shared" si="25"/>
        <v>10</v>
      </c>
      <c r="AE65" s="43"/>
      <c r="AG65" s="42">
        <v>6</v>
      </c>
      <c r="AH65" s="49">
        <v>0</v>
      </c>
      <c r="AI65">
        <f t="shared" si="26"/>
        <v>198.45</v>
      </c>
      <c r="AJ65">
        <f t="shared" si="26"/>
        <v>326.85882352941178</v>
      </c>
      <c r="AK65">
        <f t="shared" si="26"/>
        <v>735.43235294117642</v>
      </c>
      <c r="AL65">
        <f t="shared" si="26"/>
        <v>326.85882352941178</v>
      </c>
      <c r="AM65" s="45">
        <f t="shared" si="27"/>
        <v>1587.6</v>
      </c>
      <c r="AN65" s="43"/>
      <c r="AP65" s="2" t="s">
        <v>206</v>
      </c>
      <c r="AQ65">
        <f>_xlfn.CHISQ.DIST.RT(AQ63,AQ62)</f>
        <v>0</v>
      </c>
    </row>
    <row r="66" spans="1:44" ht="18" x14ac:dyDescent="0.35">
      <c r="A66">
        <v>2</v>
      </c>
      <c r="B66">
        <v>2</v>
      </c>
      <c r="C66">
        <v>2</v>
      </c>
      <c r="D66">
        <v>1</v>
      </c>
      <c r="E66">
        <v>2</v>
      </c>
      <c r="F66">
        <v>2</v>
      </c>
      <c r="G66">
        <v>4</v>
      </c>
      <c r="H66">
        <v>5</v>
      </c>
      <c r="I66">
        <v>5</v>
      </c>
      <c r="J66">
        <v>3</v>
      </c>
      <c r="K66">
        <v>5</v>
      </c>
      <c r="L66">
        <v>3</v>
      </c>
      <c r="Y66" s="43">
        <f>SUM(Y60:Y65)</f>
        <v>0</v>
      </c>
      <c r="Z66" s="43">
        <f>SUM(Z60:Z65)</f>
        <v>17</v>
      </c>
      <c r="AA66" s="43">
        <f>SUM(AA60:AA65)</f>
        <v>28</v>
      </c>
      <c r="AB66" s="43">
        <f>SUM(AB60:AB65)</f>
        <v>63.000000000000007</v>
      </c>
      <c r="AC66" s="43">
        <f>SUM(AC60:AC65)</f>
        <v>28</v>
      </c>
      <c r="AD66" s="48">
        <f t="shared" si="25"/>
        <v>136</v>
      </c>
      <c r="AE66" s="43"/>
      <c r="AH66" s="48">
        <f>SUM(AH60:AH65)</f>
        <v>0</v>
      </c>
      <c r="AI66" s="48">
        <f>SUM(AI60:AI65)</f>
        <v>206.36392496392494</v>
      </c>
      <c r="AJ66" s="48">
        <f>SUM(AJ60:AJ65)</f>
        <v>341.20844155844156</v>
      </c>
      <c r="AK66" s="48">
        <f>SUM(AK60:AK65)</f>
        <v>766.26328133947175</v>
      </c>
      <c r="AL66" s="48">
        <f>SUM(AL60:AL65)</f>
        <v>333.2192537621109</v>
      </c>
      <c r="AM66" s="46">
        <f t="shared" si="27"/>
        <v>1647.0549016239493</v>
      </c>
      <c r="AN66" s="43"/>
      <c r="AP66" t="s">
        <v>215</v>
      </c>
    </row>
    <row r="67" spans="1:44" ht="15.6" x14ac:dyDescent="0.3">
      <c r="A67">
        <v>3</v>
      </c>
      <c r="B67">
        <v>2</v>
      </c>
      <c r="C67">
        <v>2</v>
      </c>
      <c r="D67">
        <v>2</v>
      </c>
      <c r="E67">
        <v>2</v>
      </c>
      <c r="F67">
        <v>2</v>
      </c>
      <c r="G67">
        <v>4</v>
      </c>
      <c r="H67">
        <v>5</v>
      </c>
      <c r="I67">
        <v>3</v>
      </c>
      <c r="J67">
        <v>2</v>
      </c>
      <c r="K67">
        <v>4</v>
      </c>
      <c r="L67">
        <v>3</v>
      </c>
      <c r="AP67" s="2" t="s">
        <v>313</v>
      </c>
      <c r="AQ67" s="50">
        <f>SQRT(AQ63/($AQ$9*$AQ$10))</f>
        <v>1.7400213939818707</v>
      </c>
    </row>
    <row r="68" spans="1:44" x14ac:dyDescent="0.3">
      <c r="A68">
        <v>4</v>
      </c>
      <c r="B68">
        <v>2</v>
      </c>
      <c r="C68">
        <v>2</v>
      </c>
      <c r="D68">
        <v>4</v>
      </c>
      <c r="E68">
        <v>2</v>
      </c>
      <c r="F68">
        <v>2</v>
      </c>
      <c r="G68">
        <v>4</v>
      </c>
      <c r="H68">
        <v>5</v>
      </c>
      <c r="I68">
        <v>4</v>
      </c>
      <c r="J68">
        <v>3</v>
      </c>
      <c r="K68">
        <v>4</v>
      </c>
      <c r="L68">
        <v>5</v>
      </c>
    </row>
    <row r="69" spans="1:44" x14ac:dyDescent="0.3">
      <c r="A69">
        <v>4</v>
      </c>
      <c r="B69">
        <v>2</v>
      </c>
      <c r="C69">
        <v>2</v>
      </c>
      <c r="D69">
        <v>1</v>
      </c>
      <c r="E69">
        <v>3</v>
      </c>
      <c r="F69">
        <v>2</v>
      </c>
      <c r="G69">
        <v>4</v>
      </c>
      <c r="H69">
        <v>4</v>
      </c>
      <c r="I69">
        <v>3</v>
      </c>
      <c r="J69">
        <v>4</v>
      </c>
      <c r="K69">
        <v>3</v>
      </c>
      <c r="L69">
        <v>2</v>
      </c>
    </row>
    <row r="70" spans="1:44" x14ac:dyDescent="0.3">
      <c r="A70">
        <v>2</v>
      </c>
      <c r="B70">
        <v>2</v>
      </c>
      <c r="C70">
        <v>2</v>
      </c>
      <c r="D70">
        <v>1</v>
      </c>
      <c r="E70">
        <v>2</v>
      </c>
      <c r="F70">
        <v>3</v>
      </c>
      <c r="G70">
        <v>5</v>
      </c>
      <c r="H70">
        <v>5</v>
      </c>
      <c r="I70">
        <v>4</v>
      </c>
      <c r="J70">
        <v>3</v>
      </c>
      <c r="K70">
        <v>5</v>
      </c>
      <c r="L70">
        <v>4</v>
      </c>
    </row>
    <row r="71" spans="1:44" x14ac:dyDescent="0.3">
      <c r="A71">
        <v>5</v>
      </c>
      <c r="B71">
        <v>2</v>
      </c>
      <c r="C71">
        <v>1</v>
      </c>
      <c r="D71">
        <v>5</v>
      </c>
      <c r="E71">
        <v>1</v>
      </c>
      <c r="F71">
        <v>2</v>
      </c>
      <c r="G71">
        <v>4</v>
      </c>
      <c r="H71">
        <v>5</v>
      </c>
      <c r="I71">
        <v>5</v>
      </c>
      <c r="J71">
        <v>4</v>
      </c>
      <c r="K71">
        <v>4</v>
      </c>
      <c r="L71">
        <v>4</v>
      </c>
      <c r="P71" s="106" t="s">
        <v>197</v>
      </c>
      <c r="Q71" s="106"/>
      <c r="R71" s="106"/>
      <c r="S71" s="106"/>
      <c r="T71" s="106"/>
      <c r="U71" s="106"/>
    </row>
    <row r="72" spans="1:44" ht="15.6" x14ac:dyDescent="0.3">
      <c r="A72">
        <v>3</v>
      </c>
      <c r="B72">
        <v>2</v>
      </c>
      <c r="C72">
        <v>2</v>
      </c>
      <c r="D72">
        <v>2</v>
      </c>
      <c r="E72">
        <v>2</v>
      </c>
      <c r="F72">
        <v>2</v>
      </c>
      <c r="G72">
        <v>4</v>
      </c>
      <c r="H72">
        <v>4</v>
      </c>
      <c r="I72">
        <v>4</v>
      </c>
      <c r="J72">
        <v>3</v>
      </c>
      <c r="K72">
        <v>4</v>
      </c>
      <c r="L72">
        <v>3</v>
      </c>
      <c r="O72" s="11" t="s">
        <v>142</v>
      </c>
      <c r="P72" s="10">
        <v>1</v>
      </c>
      <c r="Q72" s="10">
        <v>2</v>
      </c>
      <c r="R72" s="10">
        <v>3</v>
      </c>
      <c r="S72" s="10">
        <v>4</v>
      </c>
      <c r="T72" s="10">
        <v>5</v>
      </c>
      <c r="U72" s="10"/>
      <c r="V72" s="44"/>
      <c r="Y72" s="106" t="s">
        <v>214</v>
      </c>
      <c r="Z72" s="106"/>
      <c r="AA72" s="106"/>
      <c r="AB72" s="106"/>
      <c r="AC72" s="106"/>
      <c r="AD72" s="106"/>
      <c r="AG72" s="106" t="s">
        <v>214</v>
      </c>
      <c r="AH72" s="106"/>
      <c r="AI72" s="106"/>
      <c r="AJ72" s="106"/>
      <c r="AK72" s="106"/>
      <c r="AL72" s="106"/>
      <c r="AM72" s="106"/>
    </row>
    <row r="73" spans="1:44" ht="15.6" x14ac:dyDescent="0.3">
      <c r="A73">
        <v>5</v>
      </c>
      <c r="B73">
        <v>1</v>
      </c>
      <c r="C73">
        <v>2</v>
      </c>
      <c r="D73">
        <v>3</v>
      </c>
      <c r="E73">
        <v>2</v>
      </c>
      <c r="F73">
        <v>2</v>
      </c>
      <c r="G73">
        <v>4</v>
      </c>
      <c r="H73">
        <v>4</v>
      </c>
      <c r="I73">
        <v>4</v>
      </c>
      <c r="J73">
        <v>3</v>
      </c>
      <c r="K73">
        <v>2</v>
      </c>
      <c r="L73">
        <v>4</v>
      </c>
      <c r="O73" s="42">
        <v>1</v>
      </c>
      <c r="P73">
        <f>COUNTIFS($A$2:$A$137,"1",$L$2:$L$137,"1")</f>
        <v>0</v>
      </c>
      <c r="Q73">
        <f>COUNTIFS($A$2:$A$137,"1",$L$2:$L$137,"2")</f>
        <v>0</v>
      </c>
      <c r="R73">
        <f>COUNTIFS($A$2:$A$137,"1",$L$2:$L$137,"3")</f>
        <v>0</v>
      </c>
      <c r="S73">
        <f>COUNTIFS($A$2:$A$137,"1",$L$2:$L$137,"4")</f>
        <v>0</v>
      </c>
      <c r="T73">
        <f>COUNTIFS($A$2:$A$137,"1",$L$2:$L$137,"=5")</f>
        <v>0</v>
      </c>
      <c r="U73" s="43">
        <f>SUM(P73:T73)</f>
        <v>0</v>
      </c>
      <c r="V73" s="43"/>
      <c r="X73" s="11" t="s">
        <v>142</v>
      </c>
      <c r="Y73" s="10">
        <v>1</v>
      </c>
      <c r="Z73" s="10">
        <v>2</v>
      </c>
      <c r="AA73" s="10">
        <v>3</v>
      </c>
      <c r="AB73" s="10">
        <v>4</v>
      </c>
      <c r="AC73" s="10">
        <v>5</v>
      </c>
      <c r="AD73" s="10"/>
      <c r="AE73" s="52"/>
      <c r="AG73" s="11" t="s">
        <v>142</v>
      </c>
      <c r="AH73" s="10">
        <v>1</v>
      </c>
      <c r="AI73" s="10">
        <v>2</v>
      </c>
      <c r="AJ73" s="10">
        <v>3</v>
      </c>
      <c r="AK73" s="10">
        <v>4</v>
      </c>
      <c r="AL73" s="10">
        <v>5</v>
      </c>
      <c r="AM73" s="10"/>
    </row>
    <row r="74" spans="1:44" ht="15.6" x14ac:dyDescent="0.3">
      <c r="A74">
        <v>2</v>
      </c>
      <c r="B74">
        <v>2</v>
      </c>
      <c r="C74">
        <v>2</v>
      </c>
      <c r="D74">
        <v>1</v>
      </c>
      <c r="E74">
        <v>2</v>
      </c>
      <c r="F74">
        <v>2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O74" s="42">
        <v>2</v>
      </c>
      <c r="P74">
        <f>COUNTIFS($A$2:$A$137,"2",$L$2:$L$137,"1")</f>
        <v>0</v>
      </c>
      <c r="Q74" s="3">
        <f>COUNTIFS($A$2:$A$137,"2",$L$2:$L$137,"2")</f>
        <v>5</v>
      </c>
      <c r="R74">
        <f>COUNTIFS($A$2:$A$137,"2",$L$2:$L$137,"3")</f>
        <v>6</v>
      </c>
      <c r="S74">
        <f>COUNTIFS($A$2:$A$137,"2",$L$2:$L$137,"4")</f>
        <v>10</v>
      </c>
      <c r="T74">
        <f>COUNTIFS($A$2:$A$137,"2",$L$2:$L$137,"5")</f>
        <v>3</v>
      </c>
      <c r="U74" s="43">
        <f t="shared" ref="U74:U79" si="28">SUM(P74:T74)</f>
        <v>24</v>
      </c>
      <c r="V74" s="43"/>
      <c r="X74" s="42">
        <v>1</v>
      </c>
      <c r="Y74">
        <f t="shared" ref="Y74:Y79" si="29">$U73*P$79/$U$79</f>
        <v>0</v>
      </c>
      <c r="Z74">
        <f t="shared" ref="Z74:AC79" si="30">$U73*Q$79/$U$79</f>
        <v>0</v>
      </c>
      <c r="AA74">
        <f t="shared" si="30"/>
        <v>0</v>
      </c>
      <c r="AB74">
        <f t="shared" si="30"/>
        <v>0</v>
      </c>
      <c r="AC74">
        <f t="shared" si="30"/>
        <v>0</v>
      </c>
      <c r="AD74" s="43">
        <f>SUM(Y74:AC74)</f>
        <v>0</v>
      </c>
      <c r="AE74" s="43"/>
      <c r="AG74" s="42">
        <v>1</v>
      </c>
      <c r="AH74" s="49">
        <v>0</v>
      </c>
      <c r="AI74" s="49">
        <v>0</v>
      </c>
      <c r="AJ74" s="49">
        <v>0</v>
      </c>
      <c r="AK74" s="49">
        <v>0</v>
      </c>
      <c r="AL74" s="49">
        <v>0</v>
      </c>
      <c r="AM74" s="45">
        <f>SUM(AH74:AL74)</f>
        <v>0</v>
      </c>
      <c r="AN74" s="44"/>
    </row>
    <row r="75" spans="1:44" ht="15.6" x14ac:dyDescent="0.3">
      <c r="A75">
        <v>2</v>
      </c>
      <c r="B75">
        <v>2</v>
      </c>
      <c r="C75">
        <v>2</v>
      </c>
      <c r="D75">
        <v>1</v>
      </c>
      <c r="E75">
        <v>2</v>
      </c>
      <c r="F75">
        <v>2</v>
      </c>
      <c r="G75">
        <v>4</v>
      </c>
      <c r="H75">
        <v>4</v>
      </c>
      <c r="I75">
        <v>4</v>
      </c>
      <c r="J75">
        <v>3</v>
      </c>
      <c r="K75">
        <v>4</v>
      </c>
      <c r="L75">
        <v>2</v>
      </c>
      <c r="O75" s="42">
        <v>3</v>
      </c>
      <c r="P75">
        <f>COUNTIFS($A$2:$A$137,"3",$L$2:$L$137,"1")</f>
        <v>2</v>
      </c>
      <c r="Q75">
        <f>COUNTIFS($A$2:$A$137,"3",$L$2:$L$137,"2")</f>
        <v>10</v>
      </c>
      <c r="R75">
        <f>COUNTIFS($A$2:$A$137,"3",$L$2:$L$137,"3")</f>
        <v>16</v>
      </c>
      <c r="S75">
        <f>COUNTIFS($A$2:$A$137,"3",$L$2:$L$137,"4")</f>
        <v>9</v>
      </c>
      <c r="T75">
        <f>COUNTIFS($A$2:$A$137,"3",$L$2:$L$137,"5")</f>
        <v>8</v>
      </c>
      <c r="U75" s="43">
        <f t="shared" si="28"/>
        <v>45</v>
      </c>
      <c r="V75" s="43"/>
      <c r="X75" s="42">
        <v>2</v>
      </c>
      <c r="Y75">
        <f t="shared" si="29"/>
        <v>0.88235294117647056</v>
      </c>
      <c r="Z75">
        <f t="shared" si="30"/>
        <v>5.117647058823529</v>
      </c>
      <c r="AA75">
        <f t="shared" si="30"/>
        <v>7.5882352941176467</v>
      </c>
      <c r="AB75">
        <f t="shared" si="30"/>
        <v>7.0588235294117645</v>
      </c>
      <c r="AC75">
        <f t="shared" si="30"/>
        <v>3.3529411764705883</v>
      </c>
      <c r="AD75" s="43">
        <f t="shared" ref="AD75:AD80" si="31">SUM(Y75:AC75)</f>
        <v>24</v>
      </c>
      <c r="AE75" s="43"/>
      <c r="AG75" s="42">
        <v>2</v>
      </c>
      <c r="AH75">
        <f t="shared" ref="AH75:AL79" si="32">(P75-Y75)^2/Y75</f>
        <v>1.415686274509804</v>
      </c>
      <c r="AI75">
        <f t="shared" si="32"/>
        <v>4.6578769438810017</v>
      </c>
      <c r="AJ75">
        <f t="shared" si="32"/>
        <v>9.3246694026447798</v>
      </c>
      <c r="AK75">
        <f t="shared" si="32"/>
        <v>0.53382352941176481</v>
      </c>
      <c r="AL75">
        <f t="shared" si="32"/>
        <v>6.4406604747162008</v>
      </c>
      <c r="AM75" s="45">
        <f t="shared" ref="AM75:AM80" si="33">SUM(AH75:AL75)</f>
        <v>22.372716625163552</v>
      </c>
      <c r="AN75" s="43"/>
      <c r="AP75" s="2" t="s">
        <v>204</v>
      </c>
      <c r="AQ75">
        <v>0.05</v>
      </c>
    </row>
    <row r="76" spans="1:44" ht="15.6" x14ac:dyDescent="0.3">
      <c r="A76">
        <v>2</v>
      </c>
      <c r="B76">
        <v>2</v>
      </c>
      <c r="C76">
        <v>2</v>
      </c>
      <c r="D76">
        <v>1</v>
      </c>
      <c r="E76">
        <v>2</v>
      </c>
      <c r="F76">
        <v>2</v>
      </c>
      <c r="G76">
        <v>3</v>
      </c>
      <c r="H76">
        <v>5</v>
      </c>
      <c r="I76">
        <v>4</v>
      </c>
      <c r="J76">
        <v>4</v>
      </c>
      <c r="K76">
        <v>4</v>
      </c>
      <c r="L76">
        <v>3</v>
      </c>
      <c r="O76" s="42">
        <v>4</v>
      </c>
      <c r="P76">
        <f>COUNTIFS($A$2:$A$137,"4",$L$2:$L$137,"1")</f>
        <v>0</v>
      </c>
      <c r="Q76">
        <f>COUNTIFS($A$2:$A$137,"4",$L$2:$L$137,"2")</f>
        <v>6</v>
      </c>
      <c r="R76">
        <f>COUNTIFS($A$2:$A$137,"4",$L$2:$L$137,"3")</f>
        <v>8</v>
      </c>
      <c r="S76">
        <f>COUNTIFS($A$2:$A$137,"4",$L$2:$L$137,"4")</f>
        <v>6</v>
      </c>
      <c r="T76">
        <f>COUNTIFS($A$2:$A$137,"4",$L$2:$L$137,"=5")</f>
        <v>2</v>
      </c>
      <c r="U76" s="43">
        <f t="shared" si="28"/>
        <v>22</v>
      </c>
      <c r="V76" s="43"/>
      <c r="X76" s="42">
        <v>3</v>
      </c>
      <c r="Y76">
        <f t="shared" si="29"/>
        <v>1.6544117647058822</v>
      </c>
      <c r="Z76">
        <f t="shared" si="30"/>
        <v>9.5955882352941178</v>
      </c>
      <c r="AA76">
        <f t="shared" si="30"/>
        <v>14.227941176470589</v>
      </c>
      <c r="AB76">
        <f t="shared" si="30"/>
        <v>13.235294117647058</v>
      </c>
      <c r="AC76">
        <f t="shared" si="30"/>
        <v>6.2867647058823533</v>
      </c>
      <c r="AD76" s="43">
        <f t="shared" si="31"/>
        <v>45</v>
      </c>
      <c r="AE76" s="43"/>
      <c r="AG76" s="42">
        <v>3</v>
      </c>
      <c r="AH76">
        <f t="shared" si="32"/>
        <v>1.6544117647058825</v>
      </c>
      <c r="AI76">
        <f t="shared" si="32"/>
        <v>1.3473123732251522</v>
      </c>
      <c r="AJ76">
        <f t="shared" si="32"/>
        <v>2.7261323909408728</v>
      </c>
      <c r="AK76">
        <f t="shared" si="32"/>
        <v>3.9552941176470582</v>
      </c>
      <c r="AL76">
        <f t="shared" si="32"/>
        <v>2.9230220158238733</v>
      </c>
      <c r="AM76" s="45">
        <f t="shared" si="33"/>
        <v>12.606172662342839</v>
      </c>
      <c r="AN76" s="43"/>
      <c r="AP76" s="2" t="s">
        <v>205</v>
      </c>
      <c r="AQ76">
        <f>5*4</f>
        <v>20</v>
      </c>
    </row>
    <row r="77" spans="1:44" ht="15.6" x14ac:dyDescent="0.3">
      <c r="A77">
        <v>2</v>
      </c>
      <c r="B77">
        <v>2</v>
      </c>
      <c r="C77">
        <v>2</v>
      </c>
      <c r="D77">
        <v>1</v>
      </c>
      <c r="E77">
        <v>2</v>
      </c>
      <c r="F77">
        <v>2</v>
      </c>
      <c r="G77">
        <v>4</v>
      </c>
      <c r="H77">
        <v>4</v>
      </c>
      <c r="I77">
        <v>4</v>
      </c>
      <c r="J77">
        <v>4</v>
      </c>
      <c r="K77">
        <v>4</v>
      </c>
      <c r="L77">
        <v>3</v>
      </c>
      <c r="O77" s="42">
        <v>5</v>
      </c>
      <c r="P77">
        <f>COUNTIFS($A$2:$A$137,"5",$L$2:$L$137,"1")</f>
        <v>3</v>
      </c>
      <c r="Q77">
        <f>COUNTIFS($A$2:$A$137,"5",$L$2:$L$137,"2")</f>
        <v>7</v>
      </c>
      <c r="R77">
        <f>COUNTIFS($A$2:$A$137,"5",$L$2:$L$137,"3")</f>
        <v>10</v>
      </c>
      <c r="S77">
        <f>COUNTIFS($A$2:$A$137,"5",$L$2:$L$137,"4")</f>
        <v>11</v>
      </c>
      <c r="T77">
        <f>COUNTIFS($A$2:$A$137,"5",$L$2:$L$137,"5")</f>
        <v>4</v>
      </c>
      <c r="U77" s="43">
        <f t="shared" si="28"/>
        <v>35</v>
      </c>
      <c r="V77" s="43"/>
      <c r="X77" s="42">
        <v>4</v>
      </c>
      <c r="Y77">
        <f t="shared" si="29"/>
        <v>0.80882352941176472</v>
      </c>
      <c r="Z77">
        <f t="shared" si="30"/>
        <v>4.6911764705882355</v>
      </c>
      <c r="AA77">
        <f t="shared" si="30"/>
        <v>6.9558823529411766</v>
      </c>
      <c r="AB77">
        <f t="shared" si="30"/>
        <v>6.4705882352941178</v>
      </c>
      <c r="AC77">
        <f t="shared" si="30"/>
        <v>3.0735294117647061</v>
      </c>
      <c r="AD77" s="43">
        <f t="shared" si="31"/>
        <v>22.000000000000004</v>
      </c>
      <c r="AE77" s="43"/>
      <c r="AG77" s="42">
        <v>4</v>
      </c>
      <c r="AH77">
        <f t="shared" si="32"/>
        <v>5.9360962566844933</v>
      </c>
      <c r="AI77">
        <f t="shared" si="32"/>
        <v>1.1363175364189559</v>
      </c>
      <c r="AJ77">
        <f t="shared" si="32"/>
        <v>1.3322037060067156</v>
      </c>
      <c r="AK77">
        <f t="shared" si="32"/>
        <v>3.1705882352941175</v>
      </c>
      <c r="AL77">
        <f t="shared" si="32"/>
        <v>0.27927103855896412</v>
      </c>
      <c r="AM77" s="45">
        <f t="shared" si="33"/>
        <v>11.854476772963245</v>
      </c>
      <c r="AN77" s="43"/>
      <c r="AP77" s="2" t="s">
        <v>202</v>
      </c>
      <c r="AQ77" s="10">
        <f>SUM(AH74:AL79)</f>
        <v>1652.7529760718653</v>
      </c>
      <c r="AR77" t="s">
        <v>315</v>
      </c>
    </row>
    <row r="78" spans="1:44" ht="15.6" x14ac:dyDescent="0.3">
      <c r="A78">
        <v>2</v>
      </c>
      <c r="B78">
        <v>2</v>
      </c>
      <c r="C78">
        <v>2</v>
      </c>
      <c r="D78">
        <v>1</v>
      </c>
      <c r="E78">
        <v>2</v>
      </c>
      <c r="F78">
        <v>1</v>
      </c>
      <c r="G78">
        <v>5</v>
      </c>
      <c r="H78">
        <v>5</v>
      </c>
      <c r="I78">
        <v>4</v>
      </c>
      <c r="J78">
        <v>4</v>
      </c>
      <c r="K78">
        <v>4</v>
      </c>
      <c r="L78">
        <v>4</v>
      </c>
      <c r="O78" s="42">
        <v>6</v>
      </c>
      <c r="P78">
        <f>COUNTIFS($A$2:$A$137,"6",$L$2:$L$137,"1")</f>
        <v>0</v>
      </c>
      <c r="Q78">
        <f>COUNTIFS($A$2:$A$137,"6",$L$2:$L$137,"2")</f>
        <v>1</v>
      </c>
      <c r="R78">
        <f>COUNTIFS($A$2:$A$137,"6",$L$2:$L$137,"3")</f>
        <v>3</v>
      </c>
      <c r="S78">
        <f>COUNTIFS($A$2:$A$137,"6",$L$2:$L$137,"4")</f>
        <v>4</v>
      </c>
      <c r="T78">
        <f>COUNTIFS($A$2:$A$137,"6",$L$2:$L$137,"5")</f>
        <v>2</v>
      </c>
      <c r="U78" s="43">
        <f t="shared" si="28"/>
        <v>10</v>
      </c>
      <c r="V78" s="43"/>
      <c r="X78" s="42">
        <v>5</v>
      </c>
      <c r="Y78">
        <f t="shared" si="29"/>
        <v>1.286764705882353</v>
      </c>
      <c r="Z78">
        <f t="shared" si="30"/>
        <v>7.4632352941176467</v>
      </c>
      <c r="AA78">
        <f t="shared" si="30"/>
        <v>11.066176470588236</v>
      </c>
      <c r="AB78">
        <f t="shared" si="30"/>
        <v>10.294117647058824</v>
      </c>
      <c r="AC78">
        <f t="shared" si="30"/>
        <v>4.8897058823529411</v>
      </c>
      <c r="AD78" s="43">
        <f t="shared" si="31"/>
        <v>35</v>
      </c>
      <c r="AE78" s="43"/>
      <c r="AG78" s="42">
        <v>5</v>
      </c>
      <c r="AH78">
        <f t="shared" si="32"/>
        <v>1.286764705882353</v>
      </c>
      <c r="AI78">
        <f t="shared" si="32"/>
        <v>5.597225441900898</v>
      </c>
      <c r="AJ78">
        <f t="shared" si="32"/>
        <v>5.8794655071330864</v>
      </c>
      <c r="AK78">
        <f t="shared" si="32"/>
        <v>3.8484033613445385</v>
      </c>
      <c r="AL78">
        <f t="shared" si="32"/>
        <v>1.7077509951348959</v>
      </c>
      <c r="AM78" s="45">
        <f t="shared" si="33"/>
        <v>18.31961001139577</v>
      </c>
      <c r="AN78" s="43"/>
      <c r="AP78" s="2" t="s">
        <v>203</v>
      </c>
      <c r="AQ78" s="50">
        <v>31.41</v>
      </c>
    </row>
    <row r="79" spans="1:44" ht="18" x14ac:dyDescent="0.35">
      <c r="A79">
        <v>2</v>
      </c>
      <c r="B79">
        <v>1</v>
      </c>
      <c r="C79">
        <v>2</v>
      </c>
      <c r="D79">
        <v>1</v>
      </c>
      <c r="E79">
        <v>2</v>
      </c>
      <c r="F79">
        <v>2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P79" s="43">
        <f>SUM(P73:P78)</f>
        <v>5</v>
      </c>
      <c r="Q79" s="43">
        <f>SUM(Q73:Q78)</f>
        <v>29</v>
      </c>
      <c r="R79" s="43">
        <f>SUM(R73:R78)</f>
        <v>43</v>
      </c>
      <c r="S79" s="43">
        <f>SUM(S73:S78)</f>
        <v>40</v>
      </c>
      <c r="T79" s="43">
        <f>SUM(T73:T78)</f>
        <v>19</v>
      </c>
      <c r="U79" s="48">
        <f t="shared" si="28"/>
        <v>136</v>
      </c>
      <c r="V79" s="46"/>
      <c r="X79" s="42">
        <v>6</v>
      </c>
      <c r="Y79">
        <f t="shared" si="29"/>
        <v>0.36764705882352944</v>
      </c>
      <c r="Z79">
        <f t="shared" si="30"/>
        <v>2.1323529411764706</v>
      </c>
      <c r="AA79">
        <f t="shared" si="30"/>
        <v>3.1617647058823528</v>
      </c>
      <c r="AB79">
        <f t="shared" si="30"/>
        <v>2.9411764705882355</v>
      </c>
      <c r="AC79">
        <f t="shared" si="30"/>
        <v>1.3970588235294117</v>
      </c>
      <c r="AD79" s="43">
        <f t="shared" si="31"/>
        <v>10</v>
      </c>
      <c r="AE79" s="43"/>
      <c r="AG79" s="42">
        <v>6</v>
      </c>
      <c r="AH79">
        <f t="shared" si="32"/>
        <v>58.367647058823536</v>
      </c>
      <c r="AI79">
        <f t="shared" si="32"/>
        <v>338.53235294117644</v>
      </c>
      <c r="AJ79">
        <f t="shared" si="32"/>
        <v>501.96176470588233</v>
      </c>
      <c r="AK79">
        <f t="shared" si="32"/>
        <v>466.94117647058829</v>
      </c>
      <c r="AL79">
        <f t="shared" si="32"/>
        <v>221.7970588235294</v>
      </c>
      <c r="AM79" s="45">
        <f t="shared" si="33"/>
        <v>1587.6</v>
      </c>
      <c r="AN79" s="43"/>
      <c r="AP79" s="2" t="s">
        <v>206</v>
      </c>
      <c r="AQ79">
        <f>_xlfn.CHISQ.DIST.RT(AQ77,AQ76)</f>
        <v>0</v>
      </c>
    </row>
    <row r="80" spans="1:44" ht="18" x14ac:dyDescent="0.35">
      <c r="A80">
        <v>5</v>
      </c>
      <c r="B80">
        <v>2</v>
      </c>
      <c r="C80">
        <v>1</v>
      </c>
      <c r="D80">
        <v>4</v>
      </c>
      <c r="E80">
        <v>1</v>
      </c>
      <c r="F80">
        <v>2</v>
      </c>
      <c r="G80">
        <v>4</v>
      </c>
      <c r="H80">
        <v>5</v>
      </c>
      <c r="I80">
        <v>5</v>
      </c>
      <c r="J80">
        <v>5</v>
      </c>
      <c r="K80">
        <v>4</v>
      </c>
      <c r="L80">
        <v>5</v>
      </c>
      <c r="Y80" s="43">
        <f>SUM(Y74:Y79)</f>
        <v>5</v>
      </c>
      <c r="Z80" s="43">
        <f>SUM(Z74:Z79)</f>
        <v>29</v>
      </c>
      <c r="AA80" s="43">
        <f>SUM(AA74:AA79)</f>
        <v>43.000000000000007</v>
      </c>
      <c r="AB80" s="43">
        <f>SUM(AB74:AB79)</f>
        <v>40</v>
      </c>
      <c r="AC80" s="43">
        <f>SUM(AC74:AC79)</f>
        <v>19.000000000000004</v>
      </c>
      <c r="AD80" s="48">
        <f t="shared" si="31"/>
        <v>136</v>
      </c>
      <c r="AE80" s="43"/>
      <c r="AH80" s="48">
        <f>SUM(AH74:AH79)</f>
        <v>68.660606060606071</v>
      </c>
      <c r="AI80" s="48">
        <f>SUM(AI74:AI79)</f>
        <v>351.27108523660246</v>
      </c>
      <c r="AJ80" s="48">
        <f>SUM(AJ74:AJ79)</f>
        <v>521.22423571260776</v>
      </c>
      <c r="AK80" s="48">
        <f>SUM(AK74:AK79)</f>
        <v>478.44928571428579</v>
      </c>
      <c r="AL80" s="48">
        <f>SUM(AL74:AL79)</f>
        <v>233.14776334776334</v>
      </c>
      <c r="AM80" s="46">
        <f t="shared" si="33"/>
        <v>1652.7529760718655</v>
      </c>
      <c r="AN80" s="43"/>
      <c r="AP80" t="s">
        <v>216</v>
      </c>
    </row>
    <row r="81" spans="1:43" ht="15.6" x14ac:dyDescent="0.3">
      <c r="A81">
        <v>5</v>
      </c>
      <c r="B81">
        <v>2</v>
      </c>
      <c r="C81">
        <v>1</v>
      </c>
      <c r="D81">
        <v>5</v>
      </c>
      <c r="E81">
        <v>1</v>
      </c>
      <c r="F81">
        <v>2</v>
      </c>
      <c r="G81">
        <v>2</v>
      </c>
      <c r="H81">
        <v>4</v>
      </c>
      <c r="I81">
        <v>5</v>
      </c>
      <c r="J81">
        <v>2</v>
      </c>
      <c r="K81">
        <v>2</v>
      </c>
      <c r="L81">
        <v>2</v>
      </c>
      <c r="O81" t="s">
        <v>227</v>
      </c>
      <c r="AP81" s="2" t="s">
        <v>313</v>
      </c>
      <c r="AQ81" s="50">
        <f>SQRT(AQ77/($AQ$9*$AQ$10))</f>
        <v>1.7430286437902511</v>
      </c>
    </row>
    <row r="82" spans="1:43" x14ac:dyDescent="0.3">
      <c r="A82">
        <v>3</v>
      </c>
      <c r="B82">
        <v>2</v>
      </c>
      <c r="C82">
        <v>1</v>
      </c>
      <c r="D82">
        <v>4</v>
      </c>
      <c r="E82">
        <v>1</v>
      </c>
      <c r="F82">
        <v>2</v>
      </c>
      <c r="G82">
        <v>5</v>
      </c>
      <c r="H82">
        <v>5</v>
      </c>
      <c r="I82">
        <v>4</v>
      </c>
      <c r="J82">
        <v>4</v>
      </c>
      <c r="K82">
        <v>5</v>
      </c>
      <c r="L82">
        <v>5</v>
      </c>
      <c r="P82" t="s">
        <v>228</v>
      </c>
    </row>
    <row r="83" spans="1:43" x14ac:dyDescent="0.3">
      <c r="A83">
        <v>2</v>
      </c>
      <c r="B83">
        <v>2</v>
      </c>
      <c r="C83">
        <v>2</v>
      </c>
      <c r="D83">
        <v>2</v>
      </c>
      <c r="E83">
        <v>2</v>
      </c>
      <c r="F83">
        <v>3</v>
      </c>
      <c r="G83">
        <v>4</v>
      </c>
      <c r="H83">
        <v>4</v>
      </c>
      <c r="I83">
        <v>4</v>
      </c>
      <c r="J83">
        <v>2</v>
      </c>
      <c r="K83">
        <v>3</v>
      </c>
      <c r="L83">
        <v>5</v>
      </c>
    </row>
    <row r="84" spans="1:43" x14ac:dyDescent="0.3">
      <c r="A84">
        <v>2</v>
      </c>
      <c r="B84">
        <v>2</v>
      </c>
      <c r="C84">
        <v>1</v>
      </c>
      <c r="D84">
        <v>2</v>
      </c>
      <c r="E84">
        <v>2</v>
      </c>
      <c r="F84">
        <v>3</v>
      </c>
      <c r="G84">
        <v>3</v>
      </c>
      <c r="H84">
        <v>4</v>
      </c>
      <c r="I84">
        <v>4</v>
      </c>
      <c r="J84">
        <v>3</v>
      </c>
      <c r="K84">
        <v>3</v>
      </c>
      <c r="L84">
        <v>4</v>
      </c>
    </row>
    <row r="85" spans="1:43" x14ac:dyDescent="0.3">
      <c r="A85">
        <v>2</v>
      </c>
      <c r="B85">
        <v>2</v>
      </c>
      <c r="C85">
        <v>2</v>
      </c>
      <c r="D85">
        <v>2</v>
      </c>
      <c r="E85">
        <v>2</v>
      </c>
      <c r="F85">
        <v>2</v>
      </c>
      <c r="G85">
        <v>4</v>
      </c>
      <c r="H85">
        <v>4</v>
      </c>
      <c r="I85">
        <v>5</v>
      </c>
      <c r="J85">
        <v>3</v>
      </c>
      <c r="K85">
        <v>4</v>
      </c>
      <c r="L85">
        <v>4</v>
      </c>
    </row>
    <row r="86" spans="1:43" x14ac:dyDescent="0.3">
      <c r="A86">
        <v>6</v>
      </c>
      <c r="B86">
        <v>2</v>
      </c>
      <c r="C86">
        <v>3</v>
      </c>
      <c r="D86">
        <v>5</v>
      </c>
      <c r="E86">
        <v>4</v>
      </c>
      <c r="F86">
        <v>2</v>
      </c>
      <c r="G86">
        <v>3</v>
      </c>
      <c r="H86">
        <v>4</v>
      </c>
      <c r="I86">
        <v>4</v>
      </c>
      <c r="J86">
        <v>4</v>
      </c>
      <c r="K86">
        <v>4</v>
      </c>
      <c r="L86">
        <v>5</v>
      </c>
    </row>
    <row r="87" spans="1:43" x14ac:dyDescent="0.3">
      <c r="A87">
        <v>6</v>
      </c>
      <c r="B87">
        <v>2</v>
      </c>
      <c r="C87">
        <v>1</v>
      </c>
      <c r="D87">
        <v>5</v>
      </c>
      <c r="E87">
        <v>2</v>
      </c>
      <c r="F87">
        <v>2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</row>
    <row r="88" spans="1:43" x14ac:dyDescent="0.3">
      <c r="A88">
        <v>3</v>
      </c>
      <c r="B88">
        <v>2</v>
      </c>
      <c r="C88">
        <v>1</v>
      </c>
      <c r="D88">
        <v>2</v>
      </c>
      <c r="E88">
        <v>1</v>
      </c>
      <c r="F88">
        <v>2</v>
      </c>
      <c r="G88">
        <v>5</v>
      </c>
      <c r="H88">
        <v>5</v>
      </c>
      <c r="I88">
        <v>4</v>
      </c>
      <c r="J88">
        <v>4</v>
      </c>
      <c r="K88">
        <v>5</v>
      </c>
      <c r="L88">
        <v>4</v>
      </c>
    </row>
    <row r="89" spans="1:43" x14ac:dyDescent="0.3">
      <c r="A89">
        <v>6</v>
      </c>
      <c r="B89">
        <v>2</v>
      </c>
      <c r="C89">
        <v>3</v>
      </c>
      <c r="D89">
        <v>5</v>
      </c>
      <c r="E89">
        <v>4</v>
      </c>
      <c r="F89">
        <v>2</v>
      </c>
      <c r="G89">
        <v>4</v>
      </c>
      <c r="H89">
        <v>4</v>
      </c>
      <c r="I89">
        <v>4</v>
      </c>
      <c r="J89">
        <v>4</v>
      </c>
      <c r="K89">
        <v>4</v>
      </c>
      <c r="L89">
        <v>3</v>
      </c>
    </row>
    <row r="90" spans="1:43" x14ac:dyDescent="0.3">
      <c r="A90">
        <v>3</v>
      </c>
      <c r="B90">
        <v>2</v>
      </c>
      <c r="C90">
        <v>2</v>
      </c>
      <c r="D90">
        <v>3</v>
      </c>
      <c r="E90">
        <v>2</v>
      </c>
      <c r="F90">
        <v>1</v>
      </c>
      <c r="G90">
        <v>3</v>
      </c>
      <c r="H90">
        <v>4</v>
      </c>
      <c r="I90">
        <v>5</v>
      </c>
      <c r="J90">
        <v>3</v>
      </c>
      <c r="K90">
        <v>2</v>
      </c>
      <c r="L90">
        <v>3</v>
      </c>
    </row>
    <row r="91" spans="1:43" x14ac:dyDescent="0.3">
      <c r="A91">
        <v>3</v>
      </c>
      <c r="B91">
        <v>2</v>
      </c>
      <c r="C91">
        <v>2</v>
      </c>
      <c r="D91">
        <v>3</v>
      </c>
      <c r="E91">
        <v>2</v>
      </c>
      <c r="F91">
        <v>2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</row>
    <row r="92" spans="1:43" x14ac:dyDescent="0.3">
      <c r="A92">
        <v>3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5</v>
      </c>
      <c r="I92">
        <v>5</v>
      </c>
      <c r="J92">
        <v>2</v>
      </c>
      <c r="K92">
        <v>3</v>
      </c>
      <c r="L92">
        <v>3</v>
      </c>
    </row>
    <row r="93" spans="1:43" x14ac:dyDescent="0.3">
      <c r="A93">
        <v>3</v>
      </c>
      <c r="B93">
        <v>2</v>
      </c>
      <c r="C93">
        <v>2</v>
      </c>
      <c r="D93">
        <v>2</v>
      </c>
      <c r="E93">
        <v>2</v>
      </c>
      <c r="F93">
        <v>2</v>
      </c>
      <c r="G93">
        <v>3</v>
      </c>
      <c r="H93">
        <v>5</v>
      </c>
      <c r="I93">
        <v>4</v>
      </c>
      <c r="J93">
        <v>3</v>
      </c>
      <c r="K93">
        <v>4</v>
      </c>
      <c r="L93">
        <v>3</v>
      </c>
    </row>
    <row r="94" spans="1:43" x14ac:dyDescent="0.3">
      <c r="A94">
        <v>4</v>
      </c>
      <c r="B94">
        <v>2</v>
      </c>
      <c r="C94">
        <v>2</v>
      </c>
      <c r="D94">
        <v>4</v>
      </c>
      <c r="E94">
        <v>2</v>
      </c>
      <c r="F94">
        <v>3</v>
      </c>
      <c r="G94">
        <v>5</v>
      </c>
      <c r="H94">
        <v>4</v>
      </c>
      <c r="I94">
        <v>4</v>
      </c>
      <c r="J94">
        <v>4</v>
      </c>
      <c r="K94">
        <v>4</v>
      </c>
      <c r="L94">
        <v>2</v>
      </c>
    </row>
    <row r="95" spans="1:43" x14ac:dyDescent="0.3">
      <c r="A95">
        <v>4</v>
      </c>
      <c r="B95">
        <v>2</v>
      </c>
      <c r="C95">
        <v>3</v>
      </c>
      <c r="D95">
        <v>5</v>
      </c>
      <c r="E95">
        <v>4</v>
      </c>
      <c r="F95">
        <v>3</v>
      </c>
      <c r="G95">
        <v>4</v>
      </c>
      <c r="H95">
        <v>4</v>
      </c>
      <c r="I95">
        <v>5</v>
      </c>
      <c r="J95">
        <v>3</v>
      </c>
      <c r="K95">
        <v>4</v>
      </c>
      <c r="L95">
        <v>3</v>
      </c>
    </row>
    <row r="96" spans="1:43" x14ac:dyDescent="0.3">
      <c r="A96">
        <v>2</v>
      </c>
      <c r="B96">
        <v>2</v>
      </c>
      <c r="C96">
        <v>2</v>
      </c>
      <c r="D96">
        <v>2</v>
      </c>
      <c r="E96">
        <v>2</v>
      </c>
      <c r="F96">
        <v>3</v>
      </c>
      <c r="G96">
        <v>3</v>
      </c>
      <c r="H96">
        <v>5</v>
      </c>
      <c r="I96">
        <v>3</v>
      </c>
      <c r="J96">
        <v>4</v>
      </c>
      <c r="K96">
        <v>5</v>
      </c>
      <c r="L96">
        <v>2</v>
      </c>
    </row>
    <row r="97" spans="1:12" x14ac:dyDescent="0.3">
      <c r="A97">
        <v>4</v>
      </c>
      <c r="B97">
        <v>2</v>
      </c>
      <c r="C97">
        <v>3</v>
      </c>
      <c r="D97">
        <v>5</v>
      </c>
      <c r="E97">
        <v>4</v>
      </c>
      <c r="F97">
        <v>2</v>
      </c>
      <c r="G97">
        <v>2</v>
      </c>
      <c r="H97">
        <v>4</v>
      </c>
      <c r="I97">
        <v>4</v>
      </c>
      <c r="J97">
        <v>2</v>
      </c>
      <c r="K97">
        <v>2</v>
      </c>
      <c r="L97">
        <v>4</v>
      </c>
    </row>
    <row r="98" spans="1:12" x14ac:dyDescent="0.3">
      <c r="A98">
        <v>3</v>
      </c>
      <c r="B98">
        <v>2</v>
      </c>
      <c r="C98">
        <v>2</v>
      </c>
      <c r="D98">
        <v>1</v>
      </c>
      <c r="E98">
        <v>2</v>
      </c>
      <c r="F98">
        <v>2</v>
      </c>
      <c r="G98">
        <v>5</v>
      </c>
      <c r="H98">
        <v>5</v>
      </c>
      <c r="I98">
        <v>5</v>
      </c>
      <c r="J98">
        <v>4</v>
      </c>
      <c r="K98">
        <v>4</v>
      </c>
      <c r="L98">
        <v>5</v>
      </c>
    </row>
    <row r="99" spans="1:12" x14ac:dyDescent="0.3">
      <c r="A99">
        <v>3</v>
      </c>
      <c r="B99">
        <v>2</v>
      </c>
      <c r="C99">
        <v>2</v>
      </c>
      <c r="D99">
        <v>2</v>
      </c>
      <c r="E99">
        <v>2</v>
      </c>
      <c r="F99">
        <v>2</v>
      </c>
      <c r="G99">
        <v>4</v>
      </c>
      <c r="H99">
        <v>4</v>
      </c>
      <c r="I99">
        <v>4</v>
      </c>
      <c r="J99">
        <v>3</v>
      </c>
      <c r="K99">
        <v>4</v>
      </c>
      <c r="L99">
        <v>4</v>
      </c>
    </row>
    <row r="100" spans="1:12" x14ac:dyDescent="0.3">
      <c r="A100">
        <v>4</v>
      </c>
      <c r="B100">
        <v>2</v>
      </c>
      <c r="C100">
        <v>2</v>
      </c>
      <c r="D100">
        <v>4</v>
      </c>
      <c r="E100">
        <v>4</v>
      </c>
      <c r="F100">
        <v>2</v>
      </c>
      <c r="G100">
        <v>3</v>
      </c>
      <c r="H100">
        <v>2</v>
      </c>
      <c r="I100">
        <v>4</v>
      </c>
      <c r="J100">
        <v>2</v>
      </c>
      <c r="K100">
        <v>2</v>
      </c>
      <c r="L100">
        <v>4</v>
      </c>
    </row>
    <row r="101" spans="1:12" x14ac:dyDescent="0.3">
      <c r="A101">
        <v>3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4</v>
      </c>
      <c r="H101">
        <v>4</v>
      </c>
      <c r="I101">
        <v>5</v>
      </c>
      <c r="J101">
        <v>4</v>
      </c>
      <c r="K101">
        <v>4</v>
      </c>
      <c r="L101">
        <v>2</v>
      </c>
    </row>
    <row r="102" spans="1:12" x14ac:dyDescent="0.3">
      <c r="A102">
        <v>5</v>
      </c>
      <c r="B102">
        <v>2</v>
      </c>
      <c r="C102">
        <v>3</v>
      </c>
      <c r="D102">
        <v>5</v>
      </c>
      <c r="E102">
        <v>4</v>
      </c>
      <c r="F102">
        <v>2</v>
      </c>
      <c r="G102">
        <v>4</v>
      </c>
      <c r="H102">
        <v>4</v>
      </c>
      <c r="I102">
        <v>3</v>
      </c>
      <c r="J102">
        <v>2</v>
      </c>
      <c r="K102">
        <v>3</v>
      </c>
      <c r="L102">
        <v>3</v>
      </c>
    </row>
    <row r="103" spans="1:12" x14ac:dyDescent="0.3">
      <c r="A103">
        <v>4</v>
      </c>
      <c r="B103">
        <v>2</v>
      </c>
      <c r="C103">
        <v>1</v>
      </c>
      <c r="D103">
        <v>2</v>
      </c>
      <c r="E103">
        <v>1</v>
      </c>
      <c r="F103">
        <v>2</v>
      </c>
      <c r="G103">
        <v>3</v>
      </c>
      <c r="H103">
        <v>4</v>
      </c>
      <c r="I103">
        <v>4</v>
      </c>
      <c r="J103">
        <v>4</v>
      </c>
      <c r="K103">
        <v>3</v>
      </c>
      <c r="L103">
        <v>3</v>
      </c>
    </row>
    <row r="104" spans="1:12" x14ac:dyDescent="0.3">
      <c r="A104">
        <v>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4</v>
      </c>
      <c r="H104">
        <v>3</v>
      </c>
      <c r="I104">
        <v>3</v>
      </c>
      <c r="J104">
        <v>3</v>
      </c>
      <c r="K104">
        <v>2</v>
      </c>
      <c r="L104">
        <v>2</v>
      </c>
    </row>
    <row r="105" spans="1:12" x14ac:dyDescent="0.3">
      <c r="A105">
        <v>3</v>
      </c>
      <c r="B105">
        <v>2</v>
      </c>
      <c r="C105">
        <v>2</v>
      </c>
      <c r="D105">
        <v>3</v>
      </c>
      <c r="E105">
        <v>2</v>
      </c>
      <c r="F105">
        <v>3</v>
      </c>
      <c r="G105">
        <v>2</v>
      </c>
      <c r="H105">
        <v>5</v>
      </c>
      <c r="I105">
        <v>5</v>
      </c>
      <c r="J105">
        <v>4</v>
      </c>
      <c r="K105">
        <v>4</v>
      </c>
      <c r="L105">
        <v>3</v>
      </c>
    </row>
    <row r="106" spans="1:12" x14ac:dyDescent="0.3">
      <c r="A106">
        <v>3</v>
      </c>
      <c r="B106">
        <v>2</v>
      </c>
      <c r="C106">
        <v>2</v>
      </c>
      <c r="D106">
        <v>3</v>
      </c>
      <c r="E106">
        <v>2</v>
      </c>
      <c r="F106">
        <v>3</v>
      </c>
      <c r="G106">
        <v>4</v>
      </c>
      <c r="H106">
        <v>5</v>
      </c>
      <c r="I106">
        <v>4</v>
      </c>
      <c r="J106">
        <v>4</v>
      </c>
      <c r="K106">
        <v>4</v>
      </c>
      <c r="L106">
        <v>3</v>
      </c>
    </row>
    <row r="107" spans="1:12" x14ac:dyDescent="0.3">
      <c r="A107">
        <v>5</v>
      </c>
      <c r="B107">
        <v>2</v>
      </c>
      <c r="C107">
        <v>3</v>
      </c>
      <c r="D107">
        <v>5</v>
      </c>
      <c r="E107">
        <v>4</v>
      </c>
      <c r="F107">
        <v>3</v>
      </c>
      <c r="G107">
        <v>3</v>
      </c>
      <c r="H107">
        <v>4</v>
      </c>
      <c r="I107">
        <v>5</v>
      </c>
      <c r="J107">
        <v>4</v>
      </c>
      <c r="K107">
        <v>4</v>
      </c>
      <c r="L107">
        <v>4</v>
      </c>
    </row>
    <row r="108" spans="1:12" x14ac:dyDescent="0.3">
      <c r="A108">
        <v>4</v>
      </c>
      <c r="B108">
        <v>2</v>
      </c>
      <c r="C108">
        <v>2</v>
      </c>
      <c r="D108">
        <v>5</v>
      </c>
      <c r="E108">
        <v>4</v>
      </c>
      <c r="F108">
        <v>2</v>
      </c>
      <c r="G108">
        <v>3</v>
      </c>
      <c r="H108">
        <v>4</v>
      </c>
      <c r="I108">
        <v>4</v>
      </c>
      <c r="J108">
        <v>3</v>
      </c>
      <c r="K108">
        <v>3</v>
      </c>
      <c r="L108">
        <v>3</v>
      </c>
    </row>
    <row r="109" spans="1:12" x14ac:dyDescent="0.3">
      <c r="A109">
        <v>2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3</v>
      </c>
      <c r="H109">
        <v>4</v>
      </c>
      <c r="I109">
        <v>3</v>
      </c>
      <c r="J109">
        <v>2</v>
      </c>
      <c r="K109">
        <v>3</v>
      </c>
      <c r="L109">
        <v>4</v>
      </c>
    </row>
    <row r="110" spans="1:12" x14ac:dyDescent="0.3">
      <c r="A110">
        <v>3</v>
      </c>
      <c r="B110">
        <v>2</v>
      </c>
      <c r="C110">
        <v>1</v>
      </c>
      <c r="D110">
        <v>2</v>
      </c>
      <c r="E110">
        <v>2</v>
      </c>
      <c r="F110">
        <v>2</v>
      </c>
      <c r="G110">
        <v>4</v>
      </c>
      <c r="H110">
        <v>5</v>
      </c>
      <c r="I110">
        <v>4</v>
      </c>
      <c r="J110">
        <v>2</v>
      </c>
      <c r="K110">
        <v>2</v>
      </c>
      <c r="L110">
        <v>2</v>
      </c>
    </row>
    <row r="111" spans="1:12" x14ac:dyDescent="0.3">
      <c r="A111">
        <v>3</v>
      </c>
      <c r="B111">
        <v>2</v>
      </c>
      <c r="C111">
        <v>2</v>
      </c>
      <c r="D111">
        <v>2</v>
      </c>
      <c r="E111">
        <v>2</v>
      </c>
      <c r="F111">
        <v>3</v>
      </c>
      <c r="G111">
        <v>4</v>
      </c>
      <c r="H111">
        <v>5</v>
      </c>
      <c r="I111">
        <v>4</v>
      </c>
      <c r="J111">
        <v>3</v>
      </c>
      <c r="K111">
        <v>4</v>
      </c>
      <c r="L111">
        <v>4</v>
      </c>
    </row>
    <row r="112" spans="1:12" x14ac:dyDescent="0.3">
      <c r="A112">
        <v>4</v>
      </c>
      <c r="B112">
        <v>2</v>
      </c>
      <c r="C112">
        <v>2</v>
      </c>
      <c r="D112">
        <v>3</v>
      </c>
      <c r="E112">
        <v>3</v>
      </c>
      <c r="F112">
        <v>2</v>
      </c>
      <c r="G112">
        <v>3</v>
      </c>
      <c r="H112">
        <v>4</v>
      </c>
      <c r="I112">
        <v>4</v>
      </c>
      <c r="J112">
        <v>3</v>
      </c>
      <c r="K112">
        <v>5</v>
      </c>
      <c r="L112">
        <v>3</v>
      </c>
    </row>
    <row r="113" spans="1:12" x14ac:dyDescent="0.3">
      <c r="A113">
        <v>5</v>
      </c>
      <c r="B113">
        <v>2</v>
      </c>
      <c r="C113">
        <v>2</v>
      </c>
      <c r="D113">
        <v>3</v>
      </c>
      <c r="E113">
        <v>4</v>
      </c>
      <c r="F113">
        <v>2</v>
      </c>
      <c r="G113">
        <v>4</v>
      </c>
      <c r="H113">
        <v>5</v>
      </c>
      <c r="I113">
        <v>4</v>
      </c>
      <c r="J113">
        <v>4</v>
      </c>
      <c r="K113">
        <v>4</v>
      </c>
      <c r="L113">
        <v>4</v>
      </c>
    </row>
    <row r="114" spans="1:12" x14ac:dyDescent="0.3">
      <c r="A114">
        <v>5</v>
      </c>
      <c r="B114">
        <v>2</v>
      </c>
      <c r="C114">
        <v>1</v>
      </c>
      <c r="D114">
        <v>4</v>
      </c>
      <c r="E114">
        <v>2</v>
      </c>
      <c r="F114">
        <v>2</v>
      </c>
      <c r="G114">
        <v>3</v>
      </c>
      <c r="H114">
        <v>5</v>
      </c>
      <c r="I114">
        <v>4</v>
      </c>
      <c r="J114">
        <v>4</v>
      </c>
      <c r="K114">
        <v>4</v>
      </c>
      <c r="L114">
        <v>4</v>
      </c>
    </row>
    <row r="115" spans="1:12" x14ac:dyDescent="0.3">
      <c r="A115">
        <v>2</v>
      </c>
      <c r="B115">
        <v>2</v>
      </c>
      <c r="C115">
        <v>2</v>
      </c>
      <c r="D115">
        <v>1</v>
      </c>
      <c r="E115">
        <v>2</v>
      </c>
      <c r="F115">
        <v>2</v>
      </c>
      <c r="G115">
        <v>3</v>
      </c>
      <c r="H115">
        <v>4</v>
      </c>
      <c r="I115">
        <v>5</v>
      </c>
      <c r="J115">
        <v>4</v>
      </c>
      <c r="K115">
        <v>4</v>
      </c>
      <c r="L115">
        <v>5</v>
      </c>
    </row>
    <row r="116" spans="1:12" x14ac:dyDescent="0.3">
      <c r="A116">
        <v>2</v>
      </c>
      <c r="B116">
        <v>2</v>
      </c>
      <c r="C116">
        <v>2</v>
      </c>
      <c r="D116">
        <v>1</v>
      </c>
      <c r="E116">
        <v>2</v>
      </c>
      <c r="F116">
        <v>3</v>
      </c>
      <c r="G116">
        <v>4</v>
      </c>
      <c r="H116">
        <v>5</v>
      </c>
      <c r="I116">
        <v>5</v>
      </c>
      <c r="J116">
        <v>4</v>
      </c>
      <c r="K116">
        <v>4</v>
      </c>
      <c r="L116">
        <v>4</v>
      </c>
    </row>
    <row r="117" spans="1:12" x14ac:dyDescent="0.3">
      <c r="A117">
        <v>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5</v>
      </c>
      <c r="I117">
        <v>5</v>
      </c>
      <c r="J117">
        <v>3</v>
      </c>
      <c r="K117">
        <v>4</v>
      </c>
      <c r="L117">
        <v>4</v>
      </c>
    </row>
    <row r="118" spans="1:12" x14ac:dyDescent="0.3">
      <c r="A118">
        <v>4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3</v>
      </c>
    </row>
    <row r="119" spans="1:12" x14ac:dyDescent="0.3">
      <c r="A119">
        <v>3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4</v>
      </c>
      <c r="H119">
        <v>5</v>
      </c>
      <c r="I119">
        <v>5</v>
      </c>
      <c r="J119">
        <v>2</v>
      </c>
      <c r="K119">
        <v>3</v>
      </c>
      <c r="L119">
        <v>3</v>
      </c>
    </row>
    <row r="120" spans="1:12" x14ac:dyDescent="0.3">
      <c r="A120">
        <v>3</v>
      </c>
      <c r="B120">
        <v>2</v>
      </c>
      <c r="C120">
        <v>1</v>
      </c>
      <c r="D120">
        <v>2</v>
      </c>
      <c r="E120">
        <v>1</v>
      </c>
      <c r="F120">
        <v>3</v>
      </c>
      <c r="G120">
        <v>4</v>
      </c>
      <c r="H120">
        <v>5</v>
      </c>
      <c r="I120">
        <v>4</v>
      </c>
      <c r="J120">
        <v>1</v>
      </c>
      <c r="K120">
        <v>3</v>
      </c>
      <c r="L120">
        <v>2</v>
      </c>
    </row>
    <row r="121" spans="1:12" x14ac:dyDescent="0.3">
      <c r="A121">
        <v>3</v>
      </c>
      <c r="B121">
        <v>2</v>
      </c>
      <c r="C121">
        <v>2</v>
      </c>
      <c r="D121">
        <v>3</v>
      </c>
      <c r="E121">
        <v>3</v>
      </c>
      <c r="F121">
        <v>3</v>
      </c>
      <c r="G121">
        <v>2</v>
      </c>
      <c r="H121">
        <v>4</v>
      </c>
      <c r="I121">
        <v>5</v>
      </c>
      <c r="J121">
        <v>3</v>
      </c>
      <c r="K121">
        <v>4</v>
      </c>
      <c r="L121">
        <v>5</v>
      </c>
    </row>
    <row r="122" spans="1:12" x14ac:dyDescent="0.3">
      <c r="A122">
        <v>6</v>
      </c>
      <c r="B122">
        <v>2</v>
      </c>
      <c r="C122">
        <v>1</v>
      </c>
      <c r="D122">
        <v>3</v>
      </c>
      <c r="E122">
        <v>1</v>
      </c>
      <c r="F122">
        <v>2</v>
      </c>
      <c r="G122">
        <v>4</v>
      </c>
      <c r="H122">
        <v>5</v>
      </c>
      <c r="I122">
        <v>5</v>
      </c>
      <c r="J122">
        <v>5</v>
      </c>
      <c r="K122">
        <v>5</v>
      </c>
      <c r="L122">
        <v>4</v>
      </c>
    </row>
    <row r="123" spans="1:12" x14ac:dyDescent="0.3">
      <c r="A123">
        <v>4</v>
      </c>
      <c r="B123">
        <v>2</v>
      </c>
      <c r="C123">
        <v>3</v>
      </c>
      <c r="D123">
        <v>4</v>
      </c>
      <c r="E123">
        <v>4</v>
      </c>
      <c r="F123">
        <v>2</v>
      </c>
      <c r="G123">
        <v>1</v>
      </c>
      <c r="H123">
        <v>5</v>
      </c>
      <c r="I123">
        <v>4</v>
      </c>
      <c r="J123">
        <v>1</v>
      </c>
      <c r="K123">
        <v>3</v>
      </c>
      <c r="L123">
        <v>2</v>
      </c>
    </row>
    <row r="124" spans="1:12" x14ac:dyDescent="0.3">
      <c r="A124">
        <v>4</v>
      </c>
      <c r="B124">
        <v>2</v>
      </c>
      <c r="C124">
        <v>3</v>
      </c>
      <c r="D124">
        <v>5</v>
      </c>
      <c r="E124">
        <v>3</v>
      </c>
      <c r="F124">
        <v>2</v>
      </c>
      <c r="G124">
        <v>3</v>
      </c>
      <c r="H124">
        <v>3</v>
      </c>
      <c r="I124">
        <v>4</v>
      </c>
      <c r="J124">
        <v>3</v>
      </c>
      <c r="K124">
        <v>2</v>
      </c>
      <c r="L124">
        <v>3</v>
      </c>
    </row>
    <row r="125" spans="1:12" x14ac:dyDescent="0.3">
      <c r="A125">
        <v>5</v>
      </c>
      <c r="B125">
        <v>2</v>
      </c>
      <c r="C125">
        <v>2</v>
      </c>
      <c r="D125">
        <v>5</v>
      </c>
      <c r="E125">
        <v>4</v>
      </c>
      <c r="F125">
        <v>2</v>
      </c>
      <c r="G125">
        <v>5</v>
      </c>
      <c r="H125">
        <v>4</v>
      </c>
      <c r="I125">
        <v>4</v>
      </c>
      <c r="J125">
        <v>4</v>
      </c>
      <c r="K125">
        <v>5</v>
      </c>
      <c r="L125">
        <v>5</v>
      </c>
    </row>
    <row r="126" spans="1:12" x14ac:dyDescent="0.3">
      <c r="A126">
        <v>3</v>
      </c>
      <c r="B126">
        <v>2</v>
      </c>
      <c r="C126">
        <v>2</v>
      </c>
      <c r="D126">
        <v>3</v>
      </c>
      <c r="E126">
        <v>2</v>
      </c>
      <c r="F126">
        <v>3</v>
      </c>
      <c r="G126">
        <v>3</v>
      </c>
      <c r="H126">
        <v>4</v>
      </c>
      <c r="I126">
        <v>5</v>
      </c>
      <c r="J126">
        <v>3</v>
      </c>
      <c r="K126">
        <v>5</v>
      </c>
      <c r="L126">
        <v>3</v>
      </c>
    </row>
    <row r="127" spans="1:12" x14ac:dyDescent="0.3">
      <c r="A127">
        <v>6</v>
      </c>
      <c r="B127">
        <v>2</v>
      </c>
      <c r="C127">
        <v>3</v>
      </c>
      <c r="D127">
        <v>5</v>
      </c>
      <c r="E127">
        <v>4</v>
      </c>
      <c r="F127">
        <v>2</v>
      </c>
      <c r="G127">
        <v>5</v>
      </c>
      <c r="H127">
        <v>4</v>
      </c>
      <c r="I127">
        <v>4</v>
      </c>
      <c r="J127">
        <v>3</v>
      </c>
      <c r="K127">
        <v>4</v>
      </c>
      <c r="L127">
        <v>4</v>
      </c>
    </row>
    <row r="128" spans="1:12" x14ac:dyDescent="0.3">
      <c r="A128">
        <v>3</v>
      </c>
      <c r="B128">
        <v>2</v>
      </c>
      <c r="C128">
        <v>2</v>
      </c>
      <c r="D128">
        <v>2</v>
      </c>
      <c r="E128">
        <v>2</v>
      </c>
      <c r="F128">
        <v>3</v>
      </c>
      <c r="G128">
        <v>2</v>
      </c>
      <c r="H128">
        <v>3</v>
      </c>
      <c r="I128">
        <v>4</v>
      </c>
      <c r="J128">
        <v>3</v>
      </c>
      <c r="K128">
        <v>3</v>
      </c>
      <c r="L128">
        <v>1</v>
      </c>
    </row>
    <row r="129" spans="1:12" x14ac:dyDescent="0.3">
      <c r="A129">
        <v>3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4</v>
      </c>
      <c r="H129">
        <v>5</v>
      </c>
      <c r="I129">
        <v>5</v>
      </c>
      <c r="J129">
        <v>2</v>
      </c>
      <c r="K129">
        <v>4</v>
      </c>
      <c r="L129">
        <v>1</v>
      </c>
    </row>
    <row r="130" spans="1:12" x14ac:dyDescent="0.3">
      <c r="A130">
        <v>4</v>
      </c>
      <c r="B130">
        <v>2</v>
      </c>
      <c r="C130">
        <v>1</v>
      </c>
      <c r="D130">
        <v>4</v>
      </c>
      <c r="E130">
        <v>1</v>
      </c>
      <c r="F130">
        <v>2</v>
      </c>
      <c r="G130">
        <v>2</v>
      </c>
      <c r="H130">
        <v>1</v>
      </c>
      <c r="I130">
        <v>1</v>
      </c>
      <c r="J130">
        <v>1</v>
      </c>
      <c r="K130">
        <v>2</v>
      </c>
      <c r="L130">
        <v>2</v>
      </c>
    </row>
    <row r="131" spans="1:12" x14ac:dyDescent="0.3">
      <c r="A131">
        <v>5</v>
      </c>
      <c r="B131">
        <v>2</v>
      </c>
      <c r="C131">
        <v>2</v>
      </c>
      <c r="D131">
        <v>2</v>
      </c>
      <c r="E131">
        <v>3</v>
      </c>
      <c r="F131">
        <v>2</v>
      </c>
      <c r="G131">
        <v>5</v>
      </c>
      <c r="H131">
        <v>5</v>
      </c>
      <c r="I131">
        <v>5</v>
      </c>
      <c r="J131">
        <v>3</v>
      </c>
      <c r="K131">
        <v>4</v>
      </c>
      <c r="L131">
        <v>3</v>
      </c>
    </row>
    <row r="132" spans="1:12" x14ac:dyDescent="0.3">
      <c r="A132">
        <v>4</v>
      </c>
      <c r="B132">
        <v>2</v>
      </c>
      <c r="C132">
        <v>3</v>
      </c>
      <c r="D132">
        <v>3</v>
      </c>
      <c r="E132">
        <v>2</v>
      </c>
      <c r="F132">
        <v>2</v>
      </c>
      <c r="G132">
        <v>3</v>
      </c>
      <c r="H132">
        <v>4</v>
      </c>
      <c r="I132">
        <v>5</v>
      </c>
      <c r="J132">
        <v>4</v>
      </c>
      <c r="K132">
        <v>5</v>
      </c>
      <c r="L132">
        <v>4</v>
      </c>
    </row>
    <row r="133" spans="1:12" x14ac:dyDescent="0.3">
      <c r="A133">
        <v>3</v>
      </c>
      <c r="B133">
        <v>2</v>
      </c>
      <c r="C133">
        <v>2</v>
      </c>
      <c r="D133">
        <v>2</v>
      </c>
      <c r="E133">
        <v>3</v>
      </c>
      <c r="F133">
        <v>2</v>
      </c>
      <c r="G133">
        <v>4</v>
      </c>
      <c r="H133">
        <v>4</v>
      </c>
      <c r="I133">
        <v>2</v>
      </c>
      <c r="J133">
        <v>2</v>
      </c>
      <c r="K133">
        <v>2</v>
      </c>
      <c r="L133">
        <v>2</v>
      </c>
    </row>
    <row r="134" spans="1:12" x14ac:dyDescent="0.3">
      <c r="A134">
        <v>2</v>
      </c>
      <c r="B134">
        <v>1</v>
      </c>
      <c r="C134">
        <v>1</v>
      </c>
      <c r="D134">
        <v>1</v>
      </c>
      <c r="E134">
        <v>1</v>
      </c>
      <c r="F134">
        <v>2</v>
      </c>
      <c r="G134">
        <v>3</v>
      </c>
      <c r="H134">
        <v>2</v>
      </c>
      <c r="I134">
        <v>4</v>
      </c>
      <c r="J134">
        <v>2</v>
      </c>
      <c r="K134">
        <v>4</v>
      </c>
      <c r="L134">
        <v>3</v>
      </c>
    </row>
    <row r="135" spans="1:12" x14ac:dyDescent="0.3">
      <c r="A135">
        <v>5</v>
      </c>
      <c r="B135">
        <v>2</v>
      </c>
      <c r="C135">
        <v>1</v>
      </c>
      <c r="D135">
        <v>2</v>
      </c>
      <c r="E135">
        <v>1</v>
      </c>
      <c r="F135">
        <v>1</v>
      </c>
      <c r="G135">
        <v>5</v>
      </c>
      <c r="H135">
        <v>4</v>
      </c>
      <c r="I135">
        <v>4</v>
      </c>
      <c r="J135">
        <v>5</v>
      </c>
      <c r="K135">
        <v>5</v>
      </c>
      <c r="L135">
        <v>1</v>
      </c>
    </row>
    <row r="136" spans="1:12" x14ac:dyDescent="0.3">
      <c r="A136">
        <v>4</v>
      </c>
      <c r="B136">
        <v>2</v>
      </c>
      <c r="C136">
        <v>3</v>
      </c>
      <c r="D136">
        <v>4</v>
      </c>
      <c r="E136">
        <v>3</v>
      </c>
      <c r="F136">
        <v>2</v>
      </c>
      <c r="G136">
        <v>3</v>
      </c>
      <c r="H136">
        <v>4</v>
      </c>
      <c r="I136">
        <v>4</v>
      </c>
      <c r="J136">
        <v>4</v>
      </c>
      <c r="K136">
        <v>4</v>
      </c>
      <c r="L136">
        <v>3</v>
      </c>
    </row>
    <row r="137" spans="1:12" x14ac:dyDescent="0.3">
      <c r="A137">
        <v>3</v>
      </c>
      <c r="B137">
        <v>2</v>
      </c>
      <c r="C137">
        <v>2</v>
      </c>
      <c r="D137">
        <v>3</v>
      </c>
      <c r="E137">
        <v>2</v>
      </c>
      <c r="F137">
        <v>2</v>
      </c>
      <c r="G137">
        <v>3</v>
      </c>
      <c r="H137">
        <v>2</v>
      </c>
      <c r="I137">
        <v>4</v>
      </c>
      <c r="J137">
        <v>2</v>
      </c>
      <c r="K137">
        <v>4</v>
      </c>
      <c r="L137">
        <v>2</v>
      </c>
    </row>
  </sheetData>
  <mergeCells count="18">
    <mergeCell ref="P1:U1"/>
    <mergeCell ref="P15:U15"/>
    <mergeCell ref="P29:U29"/>
    <mergeCell ref="Y1:AD1"/>
    <mergeCell ref="AH1:AM1"/>
    <mergeCell ref="Y15:AD15"/>
    <mergeCell ref="AG15:AM15"/>
    <mergeCell ref="Y29:AD29"/>
    <mergeCell ref="AG29:AM29"/>
    <mergeCell ref="P43:U43"/>
    <mergeCell ref="P57:U57"/>
    <mergeCell ref="Y72:AD72"/>
    <mergeCell ref="AG72:AM72"/>
    <mergeCell ref="P71:U71"/>
    <mergeCell ref="Y43:AD43"/>
    <mergeCell ref="AG43:AM43"/>
    <mergeCell ref="Y58:AD58"/>
    <mergeCell ref="AG58:AM58"/>
  </mergeCells>
  <hyperlinks>
    <hyperlink ref="P9" r:id="rId1" display="=@sum(P3:P8"/>
    <hyperlink ref="Q9:U9" r:id="rId2" display="=@sum(P3:P8"/>
    <hyperlink ref="P23" r:id="rId3" display="=@sum(P3:P8"/>
    <hyperlink ref="Q23:U23" r:id="rId4" display="=@sum(P3:P8"/>
    <hyperlink ref="P37" r:id="rId5" display="=@sum(P3:P8"/>
    <hyperlink ref="P51" r:id="rId6" display="=@sum(P3:P8"/>
    <hyperlink ref="Q51:U51" r:id="rId7" display="=@sum(P3:P8"/>
    <hyperlink ref="P65" r:id="rId8" display="=@sum(P3:P8"/>
    <hyperlink ref="P79" r:id="rId9" display="=@sum(P3:P8"/>
    <hyperlink ref="Q79:U79" r:id="rId10" display="=@sum(P3:P8"/>
    <hyperlink ref="Q65" r:id="rId11" display="=@sum(P3:P8"/>
    <hyperlink ref="R65" r:id="rId12" display="=@sum(P3:P8"/>
    <hyperlink ref="T65" r:id="rId13" display="=@sum(P3:P8"/>
    <hyperlink ref="S65" r:id="rId14" display="=@sum(P3:P8"/>
    <hyperlink ref="Y9" r:id="rId15" display="=@sum(P3:P8"/>
    <hyperlink ref="AH9" r:id="rId16" display="=@sum(P3:P8"/>
    <hyperlink ref="Y23" r:id="rId17" display="=@sum(P3:P8"/>
    <hyperlink ref="Z23:AD23" r:id="rId18" display="=@sum(P3:P8"/>
    <hyperlink ref="AH23" r:id="rId19" display="=@sum(P3:P8"/>
    <hyperlink ref="AM17" r:id="rId20" display="=@sum(AH18:AL18)"/>
    <hyperlink ref="AM18:AM23" r:id="rId21" display="=@sum(AH18:AL18)"/>
    <hyperlink ref="AM3" r:id="rId22" display="=@sum(AH3:AL3)"/>
    <hyperlink ref="AM4:AM9" r:id="rId23" display="=@sum(AH3:AL3)"/>
    <hyperlink ref="AQ5" r:id="rId24" display="=@sum(AH3:AL8)"/>
    <hyperlink ref="U31" r:id="rId25" display="=@sum(P3:U3"/>
    <hyperlink ref="U32:U37" r:id="rId26" display="=@sum(P3:U3"/>
    <hyperlink ref="U17" r:id="rId27" display="=@sum(P3:U3"/>
    <hyperlink ref="AD3" r:id="rId28" display="=@sum(Y3:AC3)"/>
    <hyperlink ref="AD17" r:id="rId29" display="=@sum(Y17:AD17)"/>
    <hyperlink ref="U3" r:id="rId30" display="=@sum(P3:U3"/>
    <hyperlink ref="AD4:AD8" r:id="rId31" display="=@sum(Y3:AC3)"/>
    <hyperlink ref="AD9" r:id="rId32" display="=@sum(Y3:AC3)"/>
    <hyperlink ref="U4:U9" r:id="rId33" display="=@sum(P3:U3"/>
    <hyperlink ref="U18:U23" r:id="rId34" display="=@sum(P3:U3"/>
    <hyperlink ref="AD18:AD23" r:id="rId35" display="=@sum(Y17:AD17)"/>
    <hyperlink ref="U45" r:id="rId36" display="=@sum(P45:T45)"/>
    <hyperlink ref="U46:U51" r:id="rId37" display="=@sum(P45:T45)"/>
    <hyperlink ref="U59" r:id="rId38" display="=@sum(P59:T59)"/>
    <hyperlink ref="U60:U65" r:id="rId39" display="=@sum(P59:T59)"/>
    <hyperlink ref="U73" r:id="rId40" display="=@sum(P73:T73"/>
    <hyperlink ref="U74:U79" r:id="rId41" display="=@sum(P73:T73"/>
    <hyperlink ref="Y37" r:id="rId42" display="=@sum(P3:P8"/>
    <hyperlink ref="Z37:AD37" r:id="rId43" display="=@sum(P3:P8"/>
    <hyperlink ref="AH37" r:id="rId44" display="=@sum(P3:P8"/>
    <hyperlink ref="AM31" r:id="rId45" display="=@sum(AH18:AL18)"/>
    <hyperlink ref="AM32:AM37" r:id="rId46" display="=@sum(AH18:AL18)"/>
    <hyperlink ref="AD31" r:id="rId47" display="=@sum(Y17:AD17)"/>
    <hyperlink ref="AD32:AD37" r:id="rId48" display="=@sum(Y17:AD17)"/>
    <hyperlink ref="Y51" r:id="rId49" display="=@sum(P3:P8"/>
    <hyperlink ref="Z51:AD51" r:id="rId50" display="=@sum(P3:P8"/>
    <hyperlink ref="AH51" r:id="rId51" display="=@sum(P3:P8"/>
    <hyperlink ref="AM45" r:id="rId52" display="=@sum(AH18:AL18)"/>
    <hyperlink ref="AM46:AM51" r:id="rId53" display="=@sum(AH18:AL18)"/>
    <hyperlink ref="AD45" r:id="rId54" display="=@sum(Y17:AD17)"/>
    <hyperlink ref="AD46:AD51" r:id="rId55" display="=@sum(Y17:AD17)"/>
    <hyperlink ref="Y66" r:id="rId56" display="=@sum(P3:P8"/>
    <hyperlink ref="Z66:AD66" r:id="rId57" display="=@sum(P3:P8"/>
    <hyperlink ref="AH66" r:id="rId58" display="=@sum(P3:P8"/>
    <hyperlink ref="AM60" r:id="rId59" display="=@sum(AH18:AL18)"/>
    <hyperlink ref="AM61:AM66" r:id="rId60" display="=@sum(AH18:AL18)"/>
    <hyperlink ref="AD60" r:id="rId61" display="=@sum(Y17:AD17)"/>
    <hyperlink ref="AD61:AD66" r:id="rId62" display="=@sum(Y17:AD17)"/>
    <hyperlink ref="Y80" r:id="rId63" display="=@sum(P3:P8"/>
    <hyperlink ref="Z80:AD80" r:id="rId64" display="=@sum(P3:P8"/>
    <hyperlink ref="AH80" r:id="rId65" display="=@sum(P3:P8"/>
    <hyperlink ref="AM74" r:id="rId66" display="=@sum(AH18:AL18)"/>
    <hyperlink ref="AM75:AM80" r:id="rId67" display="=@sum(AH18:AL18)"/>
    <hyperlink ref="AD74" r:id="rId68" display="=@sum(Y17:AD17)"/>
    <hyperlink ref="AD75:AD80" r:id="rId69" display="=@sum(Y17:AD17)"/>
  </hyperlinks>
  <pageMargins left="0.25" right="0.25" top="0.75" bottom="0.75" header="0.3" footer="0.3"/>
  <pageSetup paperSize="5" orientation="landscape" r:id="rId7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37"/>
  <sheetViews>
    <sheetView topLeftCell="L1" workbookViewId="0">
      <selection activeCell="AC11" sqref="AC11"/>
    </sheetView>
  </sheetViews>
  <sheetFormatPr defaultRowHeight="14.4" x14ac:dyDescent="0.3"/>
  <cols>
    <col min="1" max="1" width="4.88671875" customWidth="1"/>
    <col min="2" max="2" width="7.5546875" customWidth="1"/>
    <col min="3" max="3" width="8.33203125" customWidth="1"/>
    <col min="4" max="4" width="10.88671875" bestFit="1" customWidth="1"/>
    <col min="5" max="5" width="9.6640625" bestFit="1" customWidth="1"/>
    <col min="6" max="6" width="5.6640625" customWidth="1"/>
    <col min="7" max="12" width="12.33203125" customWidth="1"/>
    <col min="13" max="14" width="4.77734375" customWidth="1"/>
    <col min="42" max="42" width="26.77734375" customWidth="1"/>
    <col min="43" max="43" width="22.44140625" customWidth="1"/>
    <col min="44" max="44" width="18.21875" customWidth="1"/>
    <col min="45" max="45" width="13.33203125" customWidth="1"/>
  </cols>
  <sheetData>
    <row r="1" spans="1:46" x14ac:dyDescent="0.3">
      <c r="A1" s="63" t="s">
        <v>96</v>
      </c>
      <c r="B1" s="63" t="s">
        <v>4</v>
      </c>
      <c r="C1" s="63" t="s">
        <v>5</v>
      </c>
      <c r="D1" s="63" t="s">
        <v>6</v>
      </c>
      <c r="E1" s="63" t="s">
        <v>7</v>
      </c>
      <c r="F1" s="63" t="s">
        <v>134</v>
      </c>
      <c r="G1" s="63" t="s">
        <v>140</v>
      </c>
      <c r="H1" s="63" t="s">
        <v>141</v>
      </c>
      <c r="I1" s="63" t="s">
        <v>136</v>
      </c>
      <c r="J1" s="63" t="s">
        <v>137</v>
      </c>
      <c r="K1" s="63" t="s">
        <v>138</v>
      </c>
      <c r="L1" s="63" t="s">
        <v>139</v>
      </c>
      <c r="P1" s="106" t="s">
        <v>343</v>
      </c>
      <c r="Q1" s="106"/>
      <c r="R1" s="106"/>
      <c r="S1" s="106"/>
      <c r="T1" s="106"/>
      <c r="U1" s="106"/>
      <c r="Y1" s="106" t="s">
        <v>340</v>
      </c>
      <c r="Z1" s="106"/>
      <c r="AA1" s="106"/>
      <c r="AB1" s="106"/>
      <c r="AC1" s="106"/>
      <c r="AD1" s="106"/>
      <c r="AH1" s="106" t="s">
        <v>341</v>
      </c>
      <c r="AI1" s="106"/>
      <c r="AJ1" s="106"/>
      <c r="AK1" s="106"/>
      <c r="AL1" s="106"/>
      <c r="AM1" s="106"/>
    </row>
    <row r="2" spans="1:46" ht="15.6" x14ac:dyDescent="0.3">
      <c r="A2">
        <v>3</v>
      </c>
      <c r="B2">
        <v>2</v>
      </c>
      <c r="C2">
        <v>2</v>
      </c>
      <c r="D2">
        <v>2</v>
      </c>
      <c r="E2">
        <v>2</v>
      </c>
      <c r="F2">
        <v>3</v>
      </c>
      <c r="G2">
        <v>3</v>
      </c>
      <c r="H2">
        <v>5</v>
      </c>
      <c r="I2">
        <v>4</v>
      </c>
      <c r="J2">
        <v>3</v>
      </c>
      <c r="K2">
        <v>4</v>
      </c>
      <c r="L2">
        <v>2</v>
      </c>
      <c r="O2" s="11" t="s">
        <v>142</v>
      </c>
      <c r="P2" s="10">
        <v>1</v>
      </c>
      <c r="Q2" s="10">
        <v>2</v>
      </c>
      <c r="R2" s="10">
        <v>3</v>
      </c>
      <c r="S2" s="10">
        <v>4</v>
      </c>
      <c r="T2" s="10">
        <v>5</v>
      </c>
      <c r="U2" s="10"/>
      <c r="V2" s="44"/>
      <c r="X2" s="11" t="s">
        <v>142</v>
      </c>
      <c r="Y2" s="10">
        <v>1</v>
      </c>
      <c r="Z2" s="10">
        <v>2</v>
      </c>
      <c r="AA2" s="10">
        <v>3</v>
      </c>
      <c r="AB2" s="10">
        <v>4</v>
      </c>
      <c r="AC2" s="10">
        <v>5</v>
      </c>
      <c r="AD2" s="10"/>
      <c r="AE2" s="44"/>
      <c r="AG2" s="11" t="s">
        <v>142</v>
      </c>
      <c r="AH2" s="10">
        <v>1</v>
      </c>
      <c r="AI2" s="10">
        <v>2</v>
      </c>
      <c r="AJ2" s="10">
        <v>3</v>
      </c>
      <c r="AK2" s="10">
        <v>4</v>
      </c>
      <c r="AL2" s="10">
        <v>5</v>
      </c>
      <c r="AM2" s="10"/>
      <c r="AN2" s="44"/>
    </row>
    <row r="3" spans="1:46" ht="15.6" x14ac:dyDescent="0.3">
      <c r="A3">
        <v>5</v>
      </c>
      <c r="B3">
        <v>2</v>
      </c>
      <c r="C3">
        <v>3</v>
      </c>
      <c r="D3">
        <v>5</v>
      </c>
      <c r="E3">
        <v>4</v>
      </c>
      <c r="F3">
        <v>2</v>
      </c>
      <c r="G3">
        <v>3</v>
      </c>
      <c r="H3">
        <v>5</v>
      </c>
      <c r="I3">
        <v>4</v>
      </c>
      <c r="J3">
        <v>3</v>
      </c>
      <c r="K3">
        <v>4</v>
      </c>
      <c r="L3">
        <v>3</v>
      </c>
      <c r="O3" s="42">
        <v>1</v>
      </c>
      <c r="P3">
        <f>COUNTIFS($A$2:$A$137,"1",$G$2:$G$137,"1")</f>
        <v>0</v>
      </c>
      <c r="Q3">
        <f>COUNTIFS($A$2:$A$137,"1",$G$2:$G$137,"2")</f>
        <v>0</v>
      </c>
      <c r="R3">
        <f>COUNTIFS($A$2:$A$137,"1",$G$2:$G$137,"3")</f>
        <v>0</v>
      </c>
      <c r="S3">
        <f>COUNTIFS($A$2:$A$137,"1",$G$2:$G$137,"4")</f>
        <v>0</v>
      </c>
      <c r="T3">
        <f>COUNTIFS($A$2:$A$137,"1",$G$2:$G$137,"=5")</f>
        <v>0</v>
      </c>
      <c r="U3" s="43">
        <f>SUM(P3:T3)</f>
        <v>0</v>
      </c>
      <c r="V3" s="43"/>
      <c r="X3" s="42">
        <v>1</v>
      </c>
      <c r="Y3">
        <f t="shared" ref="Y3:AC8" si="0">($U3*P$9)/$U$9</f>
        <v>0</v>
      </c>
      <c r="Z3">
        <f t="shared" si="0"/>
        <v>0</v>
      </c>
      <c r="AA3">
        <f t="shared" si="0"/>
        <v>0</v>
      </c>
      <c r="AB3">
        <f t="shared" si="0"/>
        <v>0</v>
      </c>
      <c r="AC3">
        <f t="shared" si="0"/>
        <v>0</v>
      </c>
      <c r="AD3" s="43">
        <f t="shared" ref="AD3:AD9" si="1">SUM(Y3:AC3)</f>
        <v>0</v>
      </c>
      <c r="AE3" s="43"/>
      <c r="AG3" s="42">
        <v>1</v>
      </c>
      <c r="AH3" s="49">
        <v>0</v>
      </c>
      <c r="AI3" s="49">
        <v>0</v>
      </c>
      <c r="AJ3" s="49">
        <v>0</v>
      </c>
      <c r="AK3" s="49">
        <v>0</v>
      </c>
      <c r="AL3" s="49">
        <v>0</v>
      </c>
      <c r="AM3" s="45">
        <f>SUM(AH3:AL3)</f>
        <v>0</v>
      </c>
      <c r="AN3" s="43"/>
      <c r="AP3" s="2" t="s">
        <v>204</v>
      </c>
      <c r="AQ3">
        <v>0.05</v>
      </c>
    </row>
    <row r="4" spans="1:46" ht="15.6" x14ac:dyDescent="0.3">
      <c r="A4">
        <v>3</v>
      </c>
      <c r="B4">
        <v>2</v>
      </c>
      <c r="C4">
        <v>2</v>
      </c>
      <c r="D4">
        <v>3</v>
      </c>
      <c r="E4">
        <v>2</v>
      </c>
      <c r="F4">
        <v>2</v>
      </c>
      <c r="G4">
        <v>2</v>
      </c>
      <c r="H4">
        <v>3</v>
      </c>
      <c r="I4">
        <v>4</v>
      </c>
      <c r="J4">
        <v>3</v>
      </c>
      <c r="K4">
        <v>4</v>
      </c>
      <c r="L4">
        <v>2</v>
      </c>
      <c r="O4" s="42">
        <v>2</v>
      </c>
      <c r="P4">
        <f>COUNTIFS($A$2:$A$137,"2",$G$2:$G$137,"1")</f>
        <v>0</v>
      </c>
      <c r="Q4">
        <f>COUNTIFS($A$2:$A$137,"2",$G$2:$G$137,"2")</f>
        <v>2</v>
      </c>
      <c r="R4">
        <f>COUNTIFS($A$2:$A$137,"2",$G$2:$G$137,"3")</f>
        <v>9</v>
      </c>
      <c r="S4">
        <f>COUNTIFS($A$2:$A$137,"2",$G$2:$G$137,"4")</f>
        <v>10</v>
      </c>
      <c r="T4">
        <f>COUNTIFS($A$2:$A$137,"2",$G$2:$G$137,"5")</f>
        <v>3</v>
      </c>
      <c r="U4" s="43">
        <f t="shared" ref="U4:U9" si="2">SUM(P4:T4)</f>
        <v>24</v>
      </c>
      <c r="V4" s="43"/>
      <c r="X4" s="42">
        <v>2</v>
      </c>
      <c r="Y4">
        <f t="shared" si="0"/>
        <v>0.52941176470588236</v>
      </c>
      <c r="Z4">
        <f t="shared" si="0"/>
        <v>2.6470588235294117</v>
      </c>
      <c r="AA4">
        <f t="shared" si="0"/>
        <v>7.7647058823529411</v>
      </c>
      <c r="AB4">
        <f t="shared" si="0"/>
        <v>8.6470588235294112</v>
      </c>
      <c r="AC4">
        <f t="shared" si="0"/>
        <v>4.4117647058823533</v>
      </c>
      <c r="AD4" s="43">
        <f t="shared" si="1"/>
        <v>24</v>
      </c>
      <c r="AE4" s="43"/>
      <c r="AG4" s="42">
        <v>2</v>
      </c>
      <c r="AH4">
        <f>((P4-Y4)^2)/Y4</f>
        <v>0.52941176470588236</v>
      </c>
      <c r="AI4">
        <f t="shared" ref="AI4:AL8" si="3">((Q4-Z4)^2)/Z4</f>
        <v>0.15816993464052284</v>
      </c>
      <c r="AJ4">
        <f t="shared" si="3"/>
        <v>0.196524064171123</v>
      </c>
      <c r="AK4">
        <f t="shared" si="3"/>
        <v>0.21168467386954801</v>
      </c>
      <c r="AL4">
        <f t="shared" si="3"/>
        <v>0.45176470588235307</v>
      </c>
      <c r="AM4" s="45">
        <f t="shared" ref="AM4:AM9" si="4">SUM(AH4:AL4)</f>
        <v>1.5475551432694292</v>
      </c>
      <c r="AN4" s="43"/>
      <c r="AP4" s="2" t="s">
        <v>205</v>
      </c>
      <c r="AQ4">
        <f>4*4</f>
        <v>16</v>
      </c>
    </row>
    <row r="5" spans="1:46" ht="15.6" x14ac:dyDescent="0.3">
      <c r="A5">
        <v>5</v>
      </c>
      <c r="B5">
        <v>2</v>
      </c>
      <c r="C5">
        <v>3</v>
      </c>
      <c r="D5">
        <v>5</v>
      </c>
      <c r="E5">
        <v>4</v>
      </c>
      <c r="F5">
        <v>2</v>
      </c>
      <c r="G5">
        <v>3</v>
      </c>
      <c r="H5">
        <v>3</v>
      </c>
      <c r="I5">
        <v>5</v>
      </c>
      <c r="J5">
        <v>3</v>
      </c>
      <c r="K5">
        <v>3</v>
      </c>
      <c r="L5">
        <v>3</v>
      </c>
      <c r="O5" s="42">
        <v>3</v>
      </c>
      <c r="P5">
        <f>COUNTIFS($A$2:$A$137,"3",$G$2:$G$137,"1")</f>
        <v>2</v>
      </c>
      <c r="Q5">
        <f>COUNTIFS($A$2:$A$137,"3",$G$2:$G$137,"2")</f>
        <v>7</v>
      </c>
      <c r="R5">
        <f>COUNTIFS($A$2:$A$137,"3",$G$2:$G$137,"3")</f>
        <v>15</v>
      </c>
      <c r="S5">
        <f>COUNTIFS($A$2:$A$137,"3",$G$2:$G$137,"4")</f>
        <v>13</v>
      </c>
      <c r="T5">
        <f>COUNTIFS($A$2:$A$137,"3",$G$2:$G$137,"5")</f>
        <v>8</v>
      </c>
      <c r="U5" s="43">
        <f t="shared" si="2"/>
        <v>45</v>
      </c>
      <c r="V5" s="43"/>
      <c r="X5" s="42">
        <v>3</v>
      </c>
      <c r="Y5">
        <f t="shared" si="0"/>
        <v>0.99264705882352944</v>
      </c>
      <c r="Z5">
        <f t="shared" si="0"/>
        <v>4.9632352941176467</v>
      </c>
      <c r="AA5">
        <f t="shared" si="0"/>
        <v>14.558823529411764</v>
      </c>
      <c r="AB5">
        <f t="shared" si="0"/>
        <v>16.213235294117649</v>
      </c>
      <c r="AC5">
        <f t="shared" si="0"/>
        <v>8.2720588235294112</v>
      </c>
      <c r="AD5" s="43">
        <f t="shared" si="1"/>
        <v>45.000000000000007</v>
      </c>
      <c r="AE5" s="43"/>
      <c r="AG5" s="42">
        <v>3</v>
      </c>
      <c r="AH5">
        <f>((P5-Y5)^2)/Y5</f>
        <v>1.0222766884531591</v>
      </c>
      <c r="AI5">
        <f t="shared" si="3"/>
        <v>0.83582788671023989</v>
      </c>
      <c r="AJ5">
        <f t="shared" si="3"/>
        <v>1.3368983957219263E-2</v>
      </c>
      <c r="AK5">
        <f t="shared" si="3"/>
        <v>0.63681806055755685</v>
      </c>
      <c r="AL5">
        <f t="shared" si="3"/>
        <v>8.9477124183006199E-3</v>
      </c>
      <c r="AM5" s="45">
        <f t="shared" si="4"/>
        <v>2.5172393320964761</v>
      </c>
      <c r="AN5" s="43"/>
      <c r="AP5" s="2" t="s">
        <v>202</v>
      </c>
      <c r="AQ5" s="45">
        <f>SUM(AH3:AL8)</f>
        <v>12.159776267846771</v>
      </c>
    </row>
    <row r="6" spans="1:46" ht="15.6" x14ac:dyDescent="0.3">
      <c r="A6">
        <v>5</v>
      </c>
      <c r="B6">
        <v>2</v>
      </c>
      <c r="C6">
        <v>3</v>
      </c>
      <c r="D6">
        <v>5</v>
      </c>
      <c r="E6">
        <v>4</v>
      </c>
      <c r="F6">
        <v>1</v>
      </c>
      <c r="G6">
        <v>3</v>
      </c>
      <c r="H6">
        <v>4</v>
      </c>
      <c r="I6">
        <v>3</v>
      </c>
      <c r="J6">
        <v>3</v>
      </c>
      <c r="K6">
        <v>3</v>
      </c>
      <c r="L6">
        <v>3</v>
      </c>
      <c r="O6" s="42">
        <v>4</v>
      </c>
      <c r="P6">
        <f>COUNTIFS($A$2:$A$137,"4",$G$2:$G$137,"1")</f>
        <v>1</v>
      </c>
      <c r="Q6">
        <f>COUNTIFS($A$2:$A$137,"4",$G$2:$G$137,"2")</f>
        <v>3</v>
      </c>
      <c r="R6">
        <f>COUNTIFS($A$2:$A$137,"4",$G$2:$G$137,"3")</f>
        <v>9</v>
      </c>
      <c r="S6">
        <f>COUNTIFS($A$2:$A$137,"4",$G$2:$G$137,"4")</f>
        <v>5</v>
      </c>
      <c r="T6">
        <f>COUNTIFS($A$2:$A$137,"4",$G$2:$G$137,"5")</f>
        <v>4</v>
      </c>
      <c r="U6" s="43">
        <f t="shared" si="2"/>
        <v>22</v>
      </c>
      <c r="V6" s="43"/>
      <c r="X6" s="42">
        <v>4</v>
      </c>
      <c r="Y6">
        <f t="shared" si="0"/>
        <v>0.48529411764705882</v>
      </c>
      <c r="Z6">
        <f t="shared" si="0"/>
        <v>2.4264705882352939</v>
      </c>
      <c r="AA6">
        <f t="shared" si="0"/>
        <v>7.117647058823529</v>
      </c>
      <c r="AB6">
        <f t="shared" si="0"/>
        <v>7.9264705882352944</v>
      </c>
      <c r="AC6">
        <f t="shared" si="0"/>
        <v>4.0441176470588234</v>
      </c>
      <c r="AD6" s="43">
        <f t="shared" si="1"/>
        <v>22</v>
      </c>
      <c r="AE6" s="43"/>
      <c r="AG6" s="42">
        <v>4</v>
      </c>
      <c r="AH6">
        <f>((P6-Y6)^2)/Y6</f>
        <v>0.54590017825311932</v>
      </c>
      <c r="AI6">
        <f t="shared" si="3"/>
        <v>0.13556149732620329</v>
      </c>
      <c r="AJ6">
        <f t="shared" si="3"/>
        <v>0.49781234807972802</v>
      </c>
      <c r="AK6">
        <f t="shared" si="3"/>
        <v>1.0804594565098768</v>
      </c>
      <c r="AL6">
        <f t="shared" si="3"/>
        <v>4.8128342245988965E-4</v>
      </c>
      <c r="AM6" s="45">
        <f t="shared" si="4"/>
        <v>2.2602147635913874</v>
      </c>
      <c r="AN6" s="43"/>
      <c r="AP6" s="2" t="s">
        <v>203</v>
      </c>
      <c r="AQ6" s="50">
        <v>26.3</v>
      </c>
    </row>
    <row r="7" spans="1:46" ht="15.6" x14ac:dyDescent="0.3">
      <c r="A7">
        <v>3</v>
      </c>
      <c r="B7">
        <v>2</v>
      </c>
      <c r="C7">
        <v>2</v>
      </c>
      <c r="D7">
        <v>2</v>
      </c>
      <c r="E7">
        <v>2</v>
      </c>
      <c r="F7">
        <v>2</v>
      </c>
      <c r="G7">
        <v>3</v>
      </c>
      <c r="H7">
        <v>4</v>
      </c>
      <c r="I7">
        <v>5</v>
      </c>
      <c r="J7">
        <v>5</v>
      </c>
      <c r="K7">
        <v>2</v>
      </c>
      <c r="L7">
        <v>3</v>
      </c>
      <c r="O7" s="42">
        <v>5</v>
      </c>
      <c r="P7">
        <f>COUNTIFS($A$2:$A$137,"5",$G$2:$G$137,"1")</f>
        <v>0</v>
      </c>
      <c r="Q7">
        <f>COUNTIFS($A$2:$A$137,"5",$G$2:$G$137,"2")</f>
        <v>2</v>
      </c>
      <c r="R7">
        <f>COUNTIFS($A$2:$A$137,"5",$G$2:$G$137,"3")</f>
        <v>10</v>
      </c>
      <c r="S7">
        <f>COUNTIFS($A$2:$A$137,"5",$G$2:$G$137,"4")</f>
        <v>16</v>
      </c>
      <c r="T7">
        <f>COUNTIFS($A$2:$A$137,"5",$G$2:$G$137,"5")</f>
        <v>7</v>
      </c>
      <c r="U7" s="43">
        <f t="shared" si="2"/>
        <v>35</v>
      </c>
      <c r="V7" s="43"/>
      <c r="X7" s="42">
        <v>5</v>
      </c>
      <c r="Y7">
        <f t="shared" si="0"/>
        <v>0.7720588235294118</v>
      </c>
      <c r="Z7">
        <f t="shared" si="0"/>
        <v>3.8602941176470589</v>
      </c>
      <c r="AA7">
        <f t="shared" si="0"/>
        <v>11.323529411764707</v>
      </c>
      <c r="AB7">
        <f t="shared" si="0"/>
        <v>12.610294117647058</v>
      </c>
      <c r="AC7">
        <f t="shared" si="0"/>
        <v>6.4338235294117645</v>
      </c>
      <c r="AD7" s="43">
        <f t="shared" si="1"/>
        <v>35</v>
      </c>
      <c r="AE7" s="43"/>
      <c r="AG7" s="42">
        <v>5</v>
      </c>
      <c r="AH7">
        <f>((P7-Y7)^2)/Y7</f>
        <v>0.7720588235294118</v>
      </c>
      <c r="AI7">
        <f t="shared" si="3"/>
        <v>0.89648459383753509</v>
      </c>
      <c r="AJ7">
        <f t="shared" si="3"/>
        <v>0.15469824293353721</v>
      </c>
      <c r="AK7">
        <f t="shared" si="3"/>
        <v>0.91116875321557245</v>
      </c>
      <c r="AL7">
        <f t="shared" si="3"/>
        <v>4.9823529411764746E-2</v>
      </c>
      <c r="AM7" s="45">
        <f t="shared" si="4"/>
        <v>2.7842339429278211</v>
      </c>
      <c r="AN7" s="43"/>
      <c r="AP7" s="2" t="s">
        <v>206</v>
      </c>
      <c r="AQ7">
        <f>_xlfn.CHISQ.DIST.RT(AQ5,AQ4)</f>
        <v>0.73290973709658547</v>
      </c>
      <c r="AR7" t="s">
        <v>207</v>
      </c>
    </row>
    <row r="8" spans="1:46" ht="43.2" x14ac:dyDescent="0.3">
      <c r="A8">
        <v>5</v>
      </c>
      <c r="B8">
        <v>2</v>
      </c>
      <c r="C8">
        <v>2</v>
      </c>
      <c r="D8">
        <v>5</v>
      </c>
      <c r="E8">
        <v>2</v>
      </c>
      <c r="F8">
        <v>2</v>
      </c>
      <c r="G8">
        <v>4</v>
      </c>
      <c r="H8">
        <v>4</v>
      </c>
      <c r="I8">
        <v>5</v>
      </c>
      <c r="J8">
        <v>4</v>
      </c>
      <c r="K8">
        <v>4</v>
      </c>
      <c r="L8">
        <v>5</v>
      </c>
      <c r="O8" s="42">
        <v>6</v>
      </c>
      <c r="P8">
        <f>COUNTIFS($A$2:$A$137,"6",$G$2:$G$137,"1")</f>
        <v>0</v>
      </c>
      <c r="Q8">
        <f>COUNTIFS($A$2:$A$137,"6",$G$2:$G$137,"2")</f>
        <v>1</v>
      </c>
      <c r="R8">
        <f>COUNTIFS($A$2:$A$137,"6",$G$2:$G$137,"3")</f>
        <v>1</v>
      </c>
      <c r="S8">
        <f>COUNTIFS($A$2:$A$137,"6",$G$2:$G$137,"4")</f>
        <v>5</v>
      </c>
      <c r="T8">
        <f>COUNTIFS($A$2:$A$137,"6",$G$2:$G$137,"5")</f>
        <v>3</v>
      </c>
      <c r="U8" s="43">
        <f t="shared" si="2"/>
        <v>10</v>
      </c>
      <c r="V8" s="43"/>
      <c r="X8" s="42">
        <v>6</v>
      </c>
      <c r="Y8">
        <f t="shared" si="0"/>
        <v>0.22058823529411764</v>
      </c>
      <c r="Z8">
        <f t="shared" si="0"/>
        <v>1.1029411764705883</v>
      </c>
      <c r="AA8">
        <f t="shared" si="0"/>
        <v>3.2352941176470589</v>
      </c>
      <c r="AB8">
        <f t="shared" si="0"/>
        <v>3.6029411764705883</v>
      </c>
      <c r="AC8">
        <f t="shared" si="0"/>
        <v>1.838235294117647</v>
      </c>
      <c r="AD8" s="43">
        <f t="shared" si="1"/>
        <v>10</v>
      </c>
      <c r="AE8" s="43"/>
      <c r="AG8" s="42">
        <v>6</v>
      </c>
      <c r="AH8">
        <f>((P8-Y8)^2)/Y8</f>
        <v>0.22058823529411764</v>
      </c>
      <c r="AI8">
        <f t="shared" si="3"/>
        <v>9.6078431372549171E-3</v>
      </c>
      <c r="AJ8">
        <f t="shared" si="3"/>
        <v>1.544385026737968</v>
      </c>
      <c r="AK8">
        <f t="shared" si="3"/>
        <v>0.54171668667466977</v>
      </c>
      <c r="AL8">
        <f t="shared" si="3"/>
        <v>0.73423529411764721</v>
      </c>
      <c r="AM8" s="45">
        <f t="shared" si="4"/>
        <v>3.0505330859616575</v>
      </c>
      <c r="AN8" s="43"/>
      <c r="AP8" s="72" t="s">
        <v>335</v>
      </c>
    </row>
    <row r="9" spans="1:46" ht="18" x14ac:dyDescent="0.35">
      <c r="A9">
        <v>6</v>
      </c>
      <c r="B9">
        <v>2</v>
      </c>
      <c r="C9">
        <v>2</v>
      </c>
      <c r="D9">
        <v>5</v>
      </c>
      <c r="E9">
        <v>3</v>
      </c>
      <c r="F9">
        <v>2</v>
      </c>
      <c r="G9">
        <v>4</v>
      </c>
      <c r="H9">
        <v>4</v>
      </c>
      <c r="I9">
        <v>5</v>
      </c>
      <c r="J9">
        <v>3</v>
      </c>
      <c r="K9">
        <v>4</v>
      </c>
      <c r="L9">
        <v>3</v>
      </c>
      <c r="P9" s="43">
        <f>SUM(P3:P8)</f>
        <v>3</v>
      </c>
      <c r="Q9" s="43">
        <f>SUM(Q3:Q8)</f>
        <v>15</v>
      </c>
      <c r="R9" s="43">
        <f>SUM(R3:R8)</f>
        <v>44</v>
      </c>
      <c r="S9" s="43">
        <f>SUM(S3:S8)</f>
        <v>49</v>
      </c>
      <c r="T9" s="43">
        <f>SUM(T3:T8)</f>
        <v>25</v>
      </c>
      <c r="U9" s="43">
        <f t="shared" si="2"/>
        <v>136</v>
      </c>
      <c r="V9" s="46"/>
      <c r="Y9" s="43">
        <f>SUM(Y3:Y8)</f>
        <v>3</v>
      </c>
      <c r="Z9" s="43">
        <f>SUM(Z3:Z8)</f>
        <v>14.999999999999998</v>
      </c>
      <c r="AA9" s="43">
        <f>SUM(AA3:AA8)</f>
        <v>44</v>
      </c>
      <c r="AB9" s="43">
        <f>SUM(AB3:AB8)</f>
        <v>49</v>
      </c>
      <c r="AC9" s="43">
        <f>SUM(AC3:AC8)</f>
        <v>25</v>
      </c>
      <c r="AD9" s="43">
        <f t="shared" si="1"/>
        <v>136</v>
      </c>
      <c r="AE9" s="46"/>
      <c r="AH9" s="43">
        <f>SUM(AH3:AH8)</f>
        <v>3.0902356902356902</v>
      </c>
      <c r="AI9" s="43">
        <f>SUM(AI3:AI8)</f>
        <v>2.0356517556517564</v>
      </c>
      <c r="AJ9" s="43">
        <f>SUM(AJ3:AJ8)</f>
        <v>2.4067886658795752</v>
      </c>
      <c r="AK9" s="43">
        <f>SUM(AK3:AK8)</f>
        <v>3.3818476308272238</v>
      </c>
      <c r="AL9" s="43">
        <f>SUM(AL3:AL8)</f>
        <v>1.2452525252525255</v>
      </c>
      <c r="AM9" s="45">
        <f t="shared" si="4"/>
        <v>12.15977626784677</v>
      </c>
      <c r="AN9" s="46"/>
      <c r="AP9" s="2" t="s">
        <v>309</v>
      </c>
      <c r="AQ9" s="3">
        <v>136</v>
      </c>
    </row>
    <row r="10" spans="1:46" x14ac:dyDescent="0.3">
      <c r="A10">
        <v>6</v>
      </c>
      <c r="B10">
        <v>2</v>
      </c>
      <c r="C10">
        <v>1</v>
      </c>
      <c r="D10">
        <v>5</v>
      </c>
      <c r="E10">
        <v>2</v>
      </c>
      <c r="F10">
        <v>1</v>
      </c>
      <c r="G10">
        <v>4</v>
      </c>
      <c r="H10">
        <v>3</v>
      </c>
      <c r="I10">
        <v>4</v>
      </c>
      <c r="J10">
        <v>2</v>
      </c>
      <c r="K10">
        <v>4</v>
      </c>
      <c r="L10">
        <v>3</v>
      </c>
      <c r="AP10" s="2" t="s">
        <v>310</v>
      </c>
      <c r="AQ10" s="3">
        <f>MIN(5,5)-1</f>
        <v>4</v>
      </c>
    </row>
    <row r="11" spans="1:46" x14ac:dyDescent="0.3">
      <c r="A11">
        <v>5</v>
      </c>
      <c r="B11">
        <v>2</v>
      </c>
      <c r="C11">
        <v>2</v>
      </c>
      <c r="D11">
        <v>5</v>
      </c>
      <c r="E11">
        <v>4</v>
      </c>
      <c r="F11">
        <v>2</v>
      </c>
      <c r="G11">
        <v>3</v>
      </c>
      <c r="H11">
        <v>4</v>
      </c>
      <c r="I11">
        <v>4</v>
      </c>
      <c r="J11">
        <v>3</v>
      </c>
      <c r="K11">
        <v>4</v>
      </c>
      <c r="L11">
        <v>4</v>
      </c>
      <c r="X11" s="4" t="s">
        <v>358</v>
      </c>
      <c r="AB11">
        <f>COUNTIF(Y4:AC8,"&lt;5")/(5*5)</f>
        <v>0.6</v>
      </c>
      <c r="AP11" s="2" t="s">
        <v>300</v>
      </c>
      <c r="AQ11" t="s">
        <v>308</v>
      </c>
      <c r="AR11" t="s">
        <v>301</v>
      </c>
      <c r="AS11" t="s">
        <v>302</v>
      </c>
      <c r="AT11" t="s">
        <v>303</v>
      </c>
    </row>
    <row r="12" spans="1:46" ht="15.6" x14ac:dyDescent="0.3">
      <c r="A12">
        <v>3</v>
      </c>
      <c r="B12">
        <v>2</v>
      </c>
      <c r="C12">
        <v>2</v>
      </c>
      <c r="D12">
        <v>3</v>
      </c>
      <c r="E12">
        <v>2</v>
      </c>
      <c r="F12">
        <v>2</v>
      </c>
      <c r="G12">
        <v>4</v>
      </c>
      <c r="H12">
        <v>5</v>
      </c>
      <c r="I12">
        <v>4</v>
      </c>
      <c r="J12">
        <v>4</v>
      </c>
      <c r="K12">
        <v>4</v>
      </c>
      <c r="L12">
        <v>5</v>
      </c>
      <c r="AP12" s="2" t="s">
        <v>304</v>
      </c>
      <c r="AQ12" s="73" t="s">
        <v>307</v>
      </c>
      <c r="AR12" s="73" t="s">
        <v>306</v>
      </c>
      <c r="AS12" s="73" t="s">
        <v>305</v>
      </c>
    </row>
    <row r="13" spans="1:46" ht="15.6" x14ac:dyDescent="0.3">
      <c r="A13">
        <v>4</v>
      </c>
      <c r="B13">
        <v>2</v>
      </c>
      <c r="C13">
        <v>1</v>
      </c>
      <c r="D13">
        <v>2</v>
      </c>
      <c r="E13">
        <v>1</v>
      </c>
      <c r="F13">
        <v>3</v>
      </c>
      <c r="G13">
        <v>5</v>
      </c>
      <c r="H13">
        <v>5</v>
      </c>
      <c r="I13">
        <v>5</v>
      </c>
      <c r="J13">
        <v>3</v>
      </c>
      <c r="K13">
        <v>5</v>
      </c>
      <c r="L13">
        <v>2</v>
      </c>
      <c r="AP13" s="2" t="s">
        <v>299</v>
      </c>
      <c r="AQ13" s="50">
        <f>SQRT(AQ5/($AQ$9*$AQ$10))</f>
        <v>0.14950762490297975</v>
      </c>
      <c r="AR13" s="75" t="s">
        <v>311</v>
      </c>
    </row>
    <row r="14" spans="1:46" x14ac:dyDescent="0.3">
      <c r="A14">
        <v>4</v>
      </c>
      <c r="B14">
        <v>2</v>
      </c>
      <c r="C14">
        <v>2</v>
      </c>
      <c r="D14">
        <v>2</v>
      </c>
      <c r="E14">
        <v>3</v>
      </c>
      <c r="F14">
        <v>2</v>
      </c>
      <c r="G14">
        <v>5</v>
      </c>
      <c r="H14">
        <v>5</v>
      </c>
      <c r="I14">
        <v>4</v>
      </c>
      <c r="J14">
        <v>4</v>
      </c>
      <c r="K14">
        <v>3</v>
      </c>
      <c r="L14">
        <v>3</v>
      </c>
    </row>
    <row r="15" spans="1:46" x14ac:dyDescent="0.3">
      <c r="A15">
        <v>4</v>
      </c>
      <c r="B15">
        <v>2</v>
      </c>
      <c r="C15">
        <v>1</v>
      </c>
      <c r="D15">
        <v>1</v>
      </c>
      <c r="E15">
        <v>1</v>
      </c>
      <c r="F15">
        <v>2</v>
      </c>
      <c r="G15">
        <v>3</v>
      </c>
      <c r="H15">
        <v>2</v>
      </c>
      <c r="I15">
        <v>4</v>
      </c>
      <c r="J15">
        <v>2</v>
      </c>
      <c r="K15">
        <v>3</v>
      </c>
      <c r="L15">
        <v>2</v>
      </c>
      <c r="P15" s="106" t="s">
        <v>342</v>
      </c>
      <c r="Q15" s="106"/>
      <c r="R15" s="106"/>
      <c r="S15" s="106"/>
      <c r="T15" s="106"/>
      <c r="U15" s="106"/>
      <c r="Y15" s="106" t="s">
        <v>348</v>
      </c>
      <c r="Z15" s="106"/>
      <c r="AA15" s="106"/>
      <c r="AB15" s="106"/>
      <c r="AC15" s="106"/>
      <c r="AD15" s="106"/>
      <c r="AG15" s="106" t="s">
        <v>353</v>
      </c>
      <c r="AH15" s="106"/>
      <c r="AI15" s="106"/>
      <c r="AJ15" s="106"/>
      <c r="AK15" s="106"/>
      <c r="AL15" s="106"/>
      <c r="AM15" s="85"/>
    </row>
    <row r="16" spans="1:46" ht="15.6" x14ac:dyDescent="0.3">
      <c r="A16">
        <v>5</v>
      </c>
      <c r="B16">
        <v>2</v>
      </c>
      <c r="C16">
        <v>1</v>
      </c>
      <c r="D16">
        <v>5</v>
      </c>
      <c r="E16">
        <v>1</v>
      </c>
      <c r="F16">
        <v>2</v>
      </c>
      <c r="G16">
        <v>3</v>
      </c>
      <c r="H16">
        <v>5</v>
      </c>
      <c r="I16">
        <v>4</v>
      </c>
      <c r="J16">
        <v>3</v>
      </c>
      <c r="K16">
        <v>4</v>
      </c>
      <c r="L16">
        <v>2</v>
      </c>
      <c r="O16" s="11" t="s">
        <v>142</v>
      </c>
      <c r="P16" s="10">
        <v>1</v>
      </c>
      <c r="Q16" s="10">
        <v>2</v>
      </c>
      <c r="R16" s="10">
        <v>3</v>
      </c>
      <c r="S16" s="10">
        <v>4</v>
      </c>
      <c r="T16" s="10">
        <v>5</v>
      </c>
      <c r="U16" s="10"/>
      <c r="V16" s="44"/>
      <c r="X16" s="11" t="s">
        <v>142</v>
      </c>
      <c r="Y16" s="10">
        <v>1</v>
      </c>
      <c r="Z16" s="10">
        <v>2</v>
      </c>
      <c r="AA16" s="10">
        <v>3</v>
      </c>
      <c r="AB16" s="10">
        <v>4</v>
      </c>
      <c r="AC16" s="10">
        <v>5</v>
      </c>
      <c r="AD16" s="10"/>
      <c r="AE16" s="52"/>
      <c r="AG16" s="11" t="s">
        <v>142</v>
      </c>
      <c r="AH16" s="10">
        <v>1</v>
      </c>
      <c r="AI16" s="10">
        <v>2</v>
      </c>
      <c r="AJ16" s="10">
        <v>3</v>
      </c>
      <c r="AK16" s="10">
        <v>4</v>
      </c>
      <c r="AL16" s="10">
        <v>5</v>
      </c>
      <c r="AM16" s="10"/>
    </row>
    <row r="17" spans="1:44" ht="15.6" x14ac:dyDescent="0.3">
      <c r="A17">
        <v>3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  <c r="I17">
        <v>4</v>
      </c>
      <c r="J17">
        <v>2</v>
      </c>
      <c r="K17">
        <v>2</v>
      </c>
      <c r="L17">
        <v>2</v>
      </c>
      <c r="O17" s="42">
        <v>1</v>
      </c>
      <c r="P17">
        <f>COUNTIFS($A$2:$A$137,"1",$H$2:$H$137,"1")</f>
        <v>0</v>
      </c>
      <c r="Q17">
        <f>COUNTIFS($A$2:$A$137,"1",$H$2:$H$137,"2")</f>
        <v>0</v>
      </c>
      <c r="R17">
        <f>COUNTIFS($A$2:$A$137,"1",$H$2:$H$137,"3")</f>
        <v>0</v>
      </c>
      <c r="S17">
        <f>COUNTIFS($A$2:$A$137,"1",$H$2:$H$137,"4")</f>
        <v>0</v>
      </c>
      <c r="T17">
        <f>COUNTIFS($A$2:$A$137,"1",$H$2:$H$137,"=5")</f>
        <v>0</v>
      </c>
      <c r="U17" s="43">
        <f>SUM(P17:T17)</f>
        <v>0</v>
      </c>
      <c r="V17" s="43"/>
      <c r="X17" s="42">
        <v>1</v>
      </c>
      <c r="Y17">
        <f t="shared" ref="Y17:AC22" si="5">$U17*P$23/$U$23</f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 s="43">
        <f>SUM(Y17:AC17)</f>
        <v>0</v>
      </c>
      <c r="AE17" s="43"/>
      <c r="AG17" s="42">
        <v>1</v>
      </c>
      <c r="AH17" s="49">
        <v>0</v>
      </c>
      <c r="AI17" s="49">
        <v>0</v>
      </c>
      <c r="AJ17" s="49">
        <v>0</v>
      </c>
      <c r="AK17" s="49">
        <v>0</v>
      </c>
      <c r="AL17" s="49">
        <v>0</v>
      </c>
      <c r="AM17" s="45">
        <f>SUM(AH17:AL17)</f>
        <v>0</v>
      </c>
      <c r="AN17" s="44"/>
    </row>
    <row r="18" spans="1:44" ht="15.6" x14ac:dyDescent="0.3">
      <c r="A18">
        <v>5</v>
      </c>
      <c r="B18">
        <v>2</v>
      </c>
      <c r="C18">
        <v>2</v>
      </c>
      <c r="D18">
        <v>4</v>
      </c>
      <c r="E18">
        <v>2</v>
      </c>
      <c r="F18">
        <v>1</v>
      </c>
      <c r="G18">
        <v>5</v>
      </c>
      <c r="H18">
        <v>3</v>
      </c>
      <c r="I18">
        <v>4</v>
      </c>
      <c r="J18">
        <v>3</v>
      </c>
      <c r="K18">
        <v>2</v>
      </c>
      <c r="L18">
        <v>1</v>
      </c>
      <c r="O18" s="42">
        <v>2</v>
      </c>
      <c r="P18">
        <f>COUNTIFS($A$2:$A$137,"2",$G$2:$G$137,"1")</f>
        <v>0</v>
      </c>
      <c r="Q18">
        <f>COUNTIFS($A$2:$A$137,"2",$H$2:$H$137,"2")</f>
        <v>1</v>
      </c>
      <c r="R18">
        <f>COUNTIFS($A$2:$A$137,"2",$H$2:$H$137,"3")</f>
        <v>2</v>
      </c>
      <c r="S18">
        <f>COUNTIFS($A$2:$A$137,"2",$H$2:$H$137,"4")</f>
        <v>9</v>
      </c>
      <c r="T18">
        <f>COUNTIFS($A$2:$A$137,"2",$H$2:$H$137,"5")</f>
        <v>12</v>
      </c>
      <c r="U18" s="43">
        <f t="shared" ref="U18:U23" si="6">SUM(P18:T18)</f>
        <v>24</v>
      </c>
      <c r="V18" s="43"/>
      <c r="X18" s="42">
        <v>2</v>
      </c>
      <c r="Y18">
        <f t="shared" si="5"/>
        <v>0.17647058823529413</v>
      </c>
      <c r="Z18">
        <f t="shared" si="5"/>
        <v>1.411764705882353</v>
      </c>
      <c r="AA18">
        <f t="shared" si="5"/>
        <v>2.2941176470588234</v>
      </c>
      <c r="AB18">
        <f t="shared" si="5"/>
        <v>10.235294117647058</v>
      </c>
      <c r="AC18">
        <f t="shared" si="5"/>
        <v>9.882352941176471</v>
      </c>
      <c r="AD18" s="43">
        <f t="shared" ref="AD18:AD23" si="7">SUM(Y18:AC18)</f>
        <v>24</v>
      </c>
      <c r="AE18" s="43"/>
      <c r="AG18" s="42">
        <v>2</v>
      </c>
      <c r="AH18">
        <f t="shared" ref="AH18:AL22" si="8">(P18-Y18)^2/Y18</f>
        <v>0.17647058823529413</v>
      </c>
      <c r="AI18">
        <f t="shared" si="8"/>
        <v>0.12009803921568632</v>
      </c>
      <c r="AJ18">
        <f t="shared" si="8"/>
        <v>3.7707390648567082E-2</v>
      </c>
      <c r="AK18">
        <f t="shared" si="8"/>
        <v>0.14908722109533448</v>
      </c>
      <c r="AL18">
        <f t="shared" si="8"/>
        <v>0.45378151260504185</v>
      </c>
      <c r="AM18" s="45">
        <f t="shared" ref="AM18:AM23" si="9">SUM(AH18:AL18)</f>
        <v>0.93714475179992385</v>
      </c>
      <c r="AN18" s="43"/>
      <c r="AP18" s="2" t="s">
        <v>204</v>
      </c>
      <c r="AQ18">
        <v>0.05</v>
      </c>
    </row>
    <row r="19" spans="1:44" ht="15.6" x14ac:dyDescent="0.3">
      <c r="A19">
        <v>4</v>
      </c>
      <c r="B19">
        <v>2</v>
      </c>
      <c r="C19">
        <v>3</v>
      </c>
      <c r="D19">
        <v>3</v>
      </c>
      <c r="E19">
        <v>4</v>
      </c>
      <c r="F19">
        <v>2</v>
      </c>
      <c r="G19">
        <v>3</v>
      </c>
      <c r="H19">
        <v>4</v>
      </c>
      <c r="I19">
        <v>5</v>
      </c>
      <c r="J19">
        <v>4</v>
      </c>
      <c r="K19">
        <v>5</v>
      </c>
      <c r="L19">
        <v>4</v>
      </c>
      <c r="O19" s="42">
        <v>3</v>
      </c>
      <c r="P19">
        <f>COUNTIFS($A$2:$A$137,"3",$H$2:$H$137,"1")</f>
        <v>0</v>
      </c>
      <c r="Q19">
        <f>COUNTIFS($A$2:$A$137,"3",$H$2:$H$137,"2")</f>
        <v>3</v>
      </c>
      <c r="R19">
        <f>COUNTIFS($A$2:$A$137,"3",$H$2:$H$137,"3")</f>
        <v>5</v>
      </c>
      <c r="S19">
        <f>COUNTIFS($A$2:$A$137,"3",$H$2:$H$137,"4")</f>
        <v>15</v>
      </c>
      <c r="T19">
        <f>COUNTIFS($A$2:$A$137,"3",$H$2:$H$137,"5")</f>
        <v>22</v>
      </c>
      <c r="U19" s="43">
        <f t="shared" si="6"/>
        <v>45</v>
      </c>
      <c r="V19" s="43"/>
      <c r="X19" s="42">
        <v>3</v>
      </c>
      <c r="Y19">
        <f t="shared" si="5"/>
        <v>0.33088235294117646</v>
      </c>
      <c r="Z19">
        <f t="shared" si="5"/>
        <v>2.6470588235294117</v>
      </c>
      <c r="AA19">
        <f t="shared" si="5"/>
        <v>4.3014705882352944</v>
      </c>
      <c r="AB19">
        <f t="shared" si="5"/>
        <v>19.191176470588236</v>
      </c>
      <c r="AC19">
        <f t="shared" si="5"/>
        <v>18.529411764705884</v>
      </c>
      <c r="AD19" s="43">
        <f t="shared" si="7"/>
        <v>45</v>
      </c>
      <c r="AE19" s="43"/>
      <c r="AG19" s="42">
        <v>3</v>
      </c>
      <c r="AH19">
        <f t="shared" si="8"/>
        <v>0.33088235294117646</v>
      </c>
      <c r="AI19">
        <f t="shared" si="8"/>
        <v>4.7058823529411785E-2</v>
      </c>
      <c r="AJ19">
        <f t="shared" si="8"/>
        <v>0.11343640020110599</v>
      </c>
      <c r="AK19">
        <f t="shared" si="8"/>
        <v>0.91531440162271815</v>
      </c>
      <c r="AL19">
        <f t="shared" si="8"/>
        <v>0.65004668534080223</v>
      </c>
      <c r="AM19" s="45">
        <f t="shared" si="9"/>
        <v>2.0567386636352145</v>
      </c>
      <c r="AN19" s="43"/>
      <c r="AP19" s="2" t="s">
        <v>205</v>
      </c>
      <c r="AQ19">
        <f>4*4</f>
        <v>16</v>
      </c>
    </row>
    <row r="20" spans="1:44" ht="15.6" x14ac:dyDescent="0.3">
      <c r="A20">
        <v>5</v>
      </c>
      <c r="B20">
        <v>2</v>
      </c>
      <c r="C20">
        <v>3</v>
      </c>
      <c r="D20">
        <v>5</v>
      </c>
      <c r="E20">
        <v>4</v>
      </c>
      <c r="F20">
        <v>2</v>
      </c>
      <c r="G20">
        <v>4</v>
      </c>
      <c r="H20">
        <v>5</v>
      </c>
      <c r="I20">
        <v>4</v>
      </c>
      <c r="J20">
        <v>2</v>
      </c>
      <c r="K20">
        <v>4</v>
      </c>
      <c r="L20">
        <v>2</v>
      </c>
      <c r="O20" s="42">
        <v>4</v>
      </c>
      <c r="P20">
        <f>COUNTIFS($A$2:$A$137,"4",$H$2:$H$137,"1")</f>
        <v>1</v>
      </c>
      <c r="Q20">
        <f>COUNTIFS($A$2:$A$137,"4",$H$2:$H$137,"2")</f>
        <v>2</v>
      </c>
      <c r="R20">
        <f>COUNTIFS($A$2:$A$137,"4",$H$2:$H$137,"3")</f>
        <v>1</v>
      </c>
      <c r="S20">
        <f>COUNTIFS($A$2:$A$137,"4",$H$2:$H$137,"4")</f>
        <v>12</v>
      </c>
      <c r="T20">
        <f>COUNTIFS($A$2:$A$137,"4",$H$2:$H$137,"5")</f>
        <v>6</v>
      </c>
      <c r="U20" s="43">
        <f t="shared" si="6"/>
        <v>22</v>
      </c>
      <c r="V20" s="43"/>
      <c r="X20" s="42">
        <v>4</v>
      </c>
      <c r="Y20">
        <f t="shared" si="5"/>
        <v>0.16176470588235295</v>
      </c>
      <c r="Z20">
        <f t="shared" si="5"/>
        <v>1.2941176470588236</v>
      </c>
      <c r="AA20">
        <f t="shared" si="5"/>
        <v>2.1029411764705883</v>
      </c>
      <c r="AB20">
        <f t="shared" si="5"/>
        <v>9.382352941176471</v>
      </c>
      <c r="AC20">
        <f t="shared" si="5"/>
        <v>9.0588235294117645</v>
      </c>
      <c r="AD20" s="43">
        <f t="shared" si="7"/>
        <v>22</v>
      </c>
      <c r="AE20" s="43"/>
      <c r="AG20" s="42">
        <v>4</v>
      </c>
      <c r="AH20">
        <f t="shared" si="8"/>
        <v>4.3435828877005349</v>
      </c>
      <c r="AI20">
        <f t="shared" si="8"/>
        <v>0.38502673796791437</v>
      </c>
      <c r="AJ20">
        <f t="shared" si="8"/>
        <v>0.57846565199506383</v>
      </c>
      <c r="AK20">
        <f t="shared" si="8"/>
        <v>0.73031532362161145</v>
      </c>
      <c r="AL20">
        <f t="shared" si="8"/>
        <v>1.0328495034377387</v>
      </c>
      <c r="AM20" s="45">
        <f t="shared" si="9"/>
        <v>7.0702401047228634</v>
      </c>
      <c r="AN20" s="43"/>
      <c r="AP20" s="2" t="s">
        <v>202</v>
      </c>
      <c r="AQ20" s="10">
        <f>SUM(AH17:AL22)</f>
        <v>15.497058073289601</v>
      </c>
    </row>
    <row r="21" spans="1:44" ht="15.6" x14ac:dyDescent="0.3">
      <c r="A21">
        <v>5</v>
      </c>
      <c r="B21">
        <v>2</v>
      </c>
      <c r="C21">
        <v>1</v>
      </c>
      <c r="D21">
        <v>5</v>
      </c>
      <c r="E21">
        <v>1</v>
      </c>
      <c r="F21">
        <v>2</v>
      </c>
      <c r="G21">
        <v>4</v>
      </c>
      <c r="H21">
        <v>4</v>
      </c>
      <c r="I21">
        <v>5</v>
      </c>
      <c r="J21">
        <v>4</v>
      </c>
      <c r="K21">
        <v>5</v>
      </c>
      <c r="L21">
        <v>3</v>
      </c>
      <c r="O21" s="42">
        <v>5</v>
      </c>
      <c r="P21">
        <f>COUNTIFS($A$2:$A$137,"5",$H$2:$H$137,"1")</f>
        <v>0</v>
      </c>
      <c r="Q21">
        <f>COUNTIFS($A$2:$A$137,"5",$H$2:$H$137,"2")</f>
        <v>1</v>
      </c>
      <c r="R21">
        <f>COUNTIFS($A$2:$A$137,"5",$H$2:$H$137,"3")</f>
        <v>4</v>
      </c>
      <c r="S21">
        <f>COUNTIFS($A$2:$A$137,"5",$H$2:$H$137,"4")</f>
        <v>15</v>
      </c>
      <c r="T21">
        <f>COUNTIFS($A$2:$A$137,"5",$H$2:$H$137,"5")</f>
        <v>15</v>
      </c>
      <c r="U21" s="43">
        <f t="shared" si="6"/>
        <v>35</v>
      </c>
      <c r="V21" s="43"/>
      <c r="X21" s="42">
        <v>5</v>
      </c>
      <c r="Y21">
        <f t="shared" si="5"/>
        <v>0.25735294117647056</v>
      </c>
      <c r="Z21">
        <f t="shared" si="5"/>
        <v>2.0588235294117645</v>
      </c>
      <c r="AA21">
        <f t="shared" si="5"/>
        <v>3.3455882352941178</v>
      </c>
      <c r="AB21">
        <f t="shared" si="5"/>
        <v>14.926470588235293</v>
      </c>
      <c r="AC21">
        <f t="shared" si="5"/>
        <v>14.411764705882353</v>
      </c>
      <c r="AD21" s="43">
        <f t="shared" si="7"/>
        <v>35</v>
      </c>
      <c r="AE21" s="43"/>
      <c r="AG21" s="42">
        <v>5</v>
      </c>
      <c r="AH21">
        <f t="shared" si="8"/>
        <v>0.25735294117647056</v>
      </c>
      <c r="AI21">
        <f t="shared" si="8"/>
        <v>0.54453781512605026</v>
      </c>
      <c r="AJ21">
        <f t="shared" si="8"/>
        <v>0.12800581771170003</v>
      </c>
      <c r="AK21">
        <f t="shared" si="8"/>
        <v>3.6221385105767064E-4</v>
      </c>
      <c r="AL21">
        <f t="shared" si="8"/>
        <v>2.4009603841536588E-2</v>
      </c>
      <c r="AM21" s="45">
        <f t="shared" si="9"/>
        <v>0.95426839170681521</v>
      </c>
      <c r="AN21" s="43"/>
      <c r="AP21" s="2" t="s">
        <v>203</v>
      </c>
      <c r="AQ21" s="50">
        <v>26.3</v>
      </c>
    </row>
    <row r="22" spans="1:44" ht="15.6" x14ac:dyDescent="0.3">
      <c r="A22">
        <v>3</v>
      </c>
      <c r="B22">
        <v>2</v>
      </c>
      <c r="C22">
        <v>2</v>
      </c>
      <c r="D22">
        <v>3</v>
      </c>
      <c r="E22">
        <v>3</v>
      </c>
      <c r="F22">
        <v>2</v>
      </c>
      <c r="G22">
        <v>1</v>
      </c>
      <c r="H22">
        <v>4</v>
      </c>
      <c r="I22">
        <v>4</v>
      </c>
      <c r="J22">
        <v>2</v>
      </c>
      <c r="K22">
        <v>4</v>
      </c>
      <c r="L22">
        <v>2</v>
      </c>
      <c r="O22" s="42">
        <v>6</v>
      </c>
      <c r="P22">
        <f>COUNTIFS($A$2:$A$137,"6",$H$2:$H$137,"1")</f>
        <v>0</v>
      </c>
      <c r="Q22">
        <f>COUNTIFS($A$2:$A$137,"6",$H$2:$H$137,"2")</f>
        <v>1</v>
      </c>
      <c r="R22">
        <f>COUNTIFS($A$2:$A$137,"6",$H$2:$H$137,"3")</f>
        <v>1</v>
      </c>
      <c r="S22">
        <f>COUNTIFS($A$2:$A$137,"6",$H$2:$H$137,"4")</f>
        <v>7</v>
      </c>
      <c r="T22">
        <f>COUNTIFS($A$2:$A$137,"6",$H$2:$H$137,"5")</f>
        <v>1</v>
      </c>
      <c r="U22" s="43">
        <f t="shared" si="6"/>
        <v>10</v>
      </c>
      <c r="V22" s="43"/>
      <c r="X22" s="42">
        <v>6</v>
      </c>
      <c r="Y22">
        <f t="shared" si="5"/>
        <v>7.3529411764705885E-2</v>
      </c>
      <c r="Z22">
        <f t="shared" si="5"/>
        <v>0.58823529411764708</v>
      </c>
      <c r="AA22">
        <f t="shared" si="5"/>
        <v>0.95588235294117652</v>
      </c>
      <c r="AB22">
        <f t="shared" si="5"/>
        <v>4.2647058823529411</v>
      </c>
      <c r="AC22">
        <f t="shared" si="5"/>
        <v>4.117647058823529</v>
      </c>
      <c r="AD22" s="43">
        <f t="shared" si="7"/>
        <v>10</v>
      </c>
      <c r="AE22" s="43"/>
      <c r="AG22" s="42">
        <v>6</v>
      </c>
      <c r="AH22">
        <f t="shared" si="8"/>
        <v>7.3529411764705885E-2</v>
      </c>
      <c r="AI22">
        <f t="shared" si="8"/>
        <v>0.28823529411764703</v>
      </c>
      <c r="AJ22">
        <f t="shared" si="8"/>
        <v>2.0361990950226202E-3</v>
      </c>
      <c r="AK22">
        <f t="shared" si="8"/>
        <v>1.7543610547667343</v>
      </c>
      <c r="AL22">
        <f t="shared" si="8"/>
        <v>2.3605042016806719</v>
      </c>
      <c r="AM22" s="45">
        <f t="shared" si="9"/>
        <v>4.4786661614247816</v>
      </c>
      <c r="AN22" s="43"/>
      <c r="AP22" s="2" t="s">
        <v>206</v>
      </c>
      <c r="AQ22">
        <f>_xlfn.CHISQ.DIST.RT(AQ20,AQ19)</f>
        <v>0.48857824004002071</v>
      </c>
    </row>
    <row r="23" spans="1:44" ht="18" x14ac:dyDescent="0.35">
      <c r="A23">
        <v>4</v>
      </c>
      <c r="B23">
        <v>2</v>
      </c>
      <c r="C23">
        <v>2</v>
      </c>
      <c r="D23">
        <v>4</v>
      </c>
      <c r="E23">
        <v>2</v>
      </c>
      <c r="F23">
        <v>2</v>
      </c>
      <c r="G23">
        <v>4</v>
      </c>
      <c r="H23">
        <v>5</v>
      </c>
      <c r="I23">
        <v>5</v>
      </c>
      <c r="J23">
        <v>4</v>
      </c>
      <c r="K23">
        <v>4</v>
      </c>
      <c r="L23">
        <v>4</v>
      </c>
      <c r="P23" s="43">
        <f>SUM(P17:P22)</f>
        <v>1</v>
      </c>
      <c r="Q23" s="43">
        <f>SUM(Q17:Q22)</f>
        <v>8</v>
      </c>
      <c r="R23" s="43">
        <f>SUM(R17:R22)</f>
        <v>13</v>
      </c>
      <c r="S23" s="43">
        <f>SUM(S17:S22)</f>
        <v>58</v>
      </c>
      <c r="T23" s="43">
        <f>SUM(T17:T22)</f>
        <v>56</v>
      </c>
      <c r="U23" s="48">
        <f t="shared" si="6"/>
        <v>136</v>
      </c>
      <c r="V23" s="46"/>
      <c r="Y23" s="43">
        <f>SUM(Y17:Y22)</f>
        <v>0.99999999999999989</v>
      </c>
      <c r="Z23" s="43">
        <f>SUM(Z17:Z22)</f>
        <v>7.9999999999999991</v>
      </c>
      <c r="AA23" s="43">
        <f>SUM(AA17:AA22)</f>
        <v>13</v>
      </c>
      <c r="AB23" s="43">
        <f>SUM(AB17:AB22)</f>
        <v>58</v>
      </c>
      <c r="AC23" s="43">
        <f>SUM(AC17:AC22)</f>
        <v>56</v>
      </c>
      <c r="AD23" s="48">
        <f t="shared" si="7"/>
        <v>136</v>
      </c>
      <c r="AE23" s="43"/>
      <c r="AH23" s="48">
        <f>SUM(AH17:AH22)</f>
        <v>5.1818181818181825</v>
      </c>
      <c r="AI23" s="48">
        <f>SUM(AI17:AI22)</f>
        <v>1.3849567099567097</v>
      </c>
      <c r="AJ23" s="48">
        <f>SUM(AJ17:AJ22)</f>
        <v>0.8596514596514595</v>
      </c>
      <c r="AK23" s="48">
        <f>SUM(AK17:AK22)</f>
        <v>3.549440214957456</v>
      </c>
      <c r="AL23" s="48">
        <f>SUM(AL17:AL22)</f>
        <v>4.521191506905792</v>
      </c>
      <c r="AM23" s="46">
        <f t="shared" si="9"/>
        <v>15.497058073289599</v>
      </c>
      <c r="AN23" s="43"/>
      <c r="AP23" t="s">
        <v>210</v>
      </c>
    </row>
    <row r="24" spans="1:44" ht="18" x14ac:dyDescent="0.35">
      <c r="A24">
        <v>4</v>
      </c>
      <c r="B24">
        <v>2</v>
      </c>
      <c r="C24">
        <v>2</v>
      </c>
      <c r="D24">
        <v>4</v>
      </c>
      <c r="E24">
        <v>2</v>
      </c>
      <c r="F24">
        <v>3</v>
      </c>
      <c r="G24">
        <v>2</v>
      </c>
      <c r="H24">
        <v>4</v>
      </c>
      <c r="I24">
        <v>5</v>
      </c>
      <c r="J24">
        <v>5</v>
      </c>
      <c r="K24">
        <v>4</v>
      </c>
      <c r="L24">
        <v>5</v>
      </c>
      <c r="AN24" s="46"/>
      <c r="AP24" s="2" t="s">
        <v>312</v>
      </c>
      <c r="AQ24">
        <f>MIN(5,5)-1</f>
        <v>4</v>
      </c>
    </row>
    <row r="25" spans="1:44" ht="15.6" x14ac:dyDescent="0.3">
      <c r="A25">
        <v>2</v>
      </c>
      <c r="B25">
        <v>2</v>
      </c>
      <c r="C25">
        <v>2</v>
      </c>
      <c r="D25">
        <v>1</v>
      </c>
      <c r="E25">
        <v>2</v>
      </c>
      <c r="F25">
        <v>3</v>
      </c>
      <c r="G25">
        <v>4</v>
      </c>
      <c r="H25">
        <v>5</v>
      </c>
      <c r="I25">
        <v>5</v>
      </c>
      <c r="J25">
        <v>3</v>
      </c>
      <c r="K25">
        <v>4</v>
      </c>
      <c r="L25">
        <v>3</v>
      </c>
      <c r="AP25" s="2" t="s">
        <v>313</v>
      </c>
      <c r="AQ25" s="50">
        <f>SQRT(AQ20/($AQ$9*$AQ$10))</f>
        <v>0.16878163142152575</v>
      </c>
      <c r="AR25" t="s">
        <v>311</v>
      </c>
    </row>
    <row r="26" spans="1:44" x14ac:dyDescent="0.3">
      <c r="A26">
        <v>3</v>
      </c>
      <c r="B26">
        <v>2</v>
      </c>
      <c r="C26">
        <v>2</v>
      </c>
      <c r="D26">
        <v>2</v>
      </c>
      <c r="E26">
        <v>2</v>
      </c>
      <c r="F26">
        <v>3</v>
      </c>
      <c r="G26">
        <v>3</v>
      </c>
      <c r="H26">
        <v>4</v>
      </c>
      <c r="I26">
        <v>4</v>
      </c>
      <c r="J26">
        <v>3</v>
      </c>
      <c r="K26">
        <v>3</v>
      </c>
      <c r="L26">
        <v>4</v>
      </c>
    </row>
    <row r="27" spans="1:44" x14ac:dyDescent="0.3">
      <c r="A27">
        <v>3</v>
      </c>
      <c r="B27">
        <v>2</v>
      </c>
      <c r="C27">
        <v>2</v>
      </c>
      <c r="D27">
        <v>2</v>
      </c>
      <c r="E27">
        <v>2</v>
      </c>
      <c r="F27">
        <v>2</v>
      </c>
      <c r="G27">
        <v>3</v>
      </c>
      <c r="H27">
        <v>4</v>
      </c>
      <c r="I27">
        <v>4</v>
      </c>
      <c r="J27">
        <v>2</v>
      </c>
      <c r="K27">
        <v>4</v>
      </c>
      <c r="L27">
        <v>4</v>
      </c>
    </row>
    <row r="28" spans="1:44" x14ac:dyDescent="0.3">
      <c r="A28">
        <v>3</v>
      </c>
      <c r="B28">
        <v>2</v>
      </c>
      <c r="C28">
        <v>2</v>
      </c>
      <c r="D28">
        <v>2</v>
      </c>
      <c r="E28">
        <v>4</v>
      </c>
      <c r="F28">
        <v>3</v>
      </c>
      <c r="G28">
        <v>5</v>
      </c>
      <c r="H28">
        <v>5</v>
      </c>
      <c r="I28">
        <v>5</v>
      </c>
      <c r="J28">
        <v>3</v>
      </c>
      <c r="K28">
        <v>5</v>
      </c>
      <c r="L28">
        <v>5</v>
      </c>
    </row>
    <row r="29" spans="1:44" x14ac:dyDescent="0.3">
      <c r="A29">
        <v>3</v>
      </c>
      <c r="B29">
        <v>2</v>
      </c>
      <c r="C29">
        <v>1</v>
      </c>
      <c r="D29">
        <v>2</v>
      </c>
      <c r="E29">
        <v>1</v>
      </c>
      <c r="F29">
        <v>2</v>
      </c>
      <c r="G29">
        <v>1</v>
      </c>
      <c r="H29">
        <v>5</v>
      </c>
      <c r="I29">
        <v>4</v>
      </c>
      <c r="J29">
        <v>3</v>
      </c>
      <c r="K29">
        <v>5</v>
      </c>
      <c r="L29">
        <v>3</v>
      </c>
      <c r="P29" s="106" t="s">
        <v>344</v>
      </c>
      <c r="Q29" s="106"/>
      <c r="R29" s="106"/>
      <c r="S29" s="106"/>
      <c r="T29" s="106"/>
      <c r="U29" s="106"/>
      <c r="Y29" s="106" t="s">
        <v>349</v>
      </c>
      <c r="Z29" s="106"/>
      <c r="AA29" s="106"/>
      <c r="AB29" s="106"/>
      <c r="AC29" s="106"/>
      <c r="AD29" s="106"/>
      <c r="AG29" s="106" t="s">
        <v>354</v>
      </c>
      <c r="AH29" s="106"/>
      <c r="AI29" s="106"/>
      <c r="AJ29" s="106"/>
      <c r="AK29" s="106"/>
      <c r="AL29" s="106"/>
      <c r="AM29" s="106"/>
    </row>
    <row r="30" spans="1:44" ht="15.6" x14ac:dyDescent="0.3">
      <c r="A30">
        <v>3</v>
      </c>
      <c r="B30">
        <v>2</v>
      </c>
      <c r="C30">
        <v>2</v>
      </c>
      <c r="D30">
        <v>2</v>
      </c>
      <c r="E30">
        <v>2</v>
      </c>
      <c r="F30">
        <v>2</v>
      </c>
      <c r="G30">
        <v>5</v>
      </c>
      <c r="H30">
        <v>2</v>
      </c>
      <c r="I30">
        <v>5</v>
      </c>
      <c r="J30">
        <v>5</v>
      </c>
      <c r="K30">
        <v>5</v>
      </c>
      <c r="L30">
        <v>5</v>
      </c>
      <c r="O30" s="11" t="s">
        <v>142</v>
      </c>
      <c r="P30" s="10">
        <v>1</v>
      </c>
      <c r="Q30" s="10">
        <v>2</v>
      </c>
      <c r="R30" s="10">
        <v>3</v>
      </c>
      <c r="S30" s="10">
        <v>4</v>
      </c>
      <c r="T30" s="10">
        <v>5</v>
      </c>
      <c r="U30" s="10"/>
      <c r="V30" s="44"/>
      <c r="X30" s="11" t="s">
        <v>142</v>
      </c>
      <c r="Y30" s="10">
        <v>1</v>
      </c>
      <c r="Z30" s="10">
        <v>2</v>
      </c>
      <c r="AA30" s="10">
        <v>3</v>
      </c>
      <c r="AB30" s="10">
        <v>4</v>
      </c>
      <c r="AC30" s="10">
        <v>5</v>
      </c>
      <c r="AD30" s="10"/>
      <c r="AE30" s="52"/>
      <c r="AG30" s="11" t="s">
        <v>142</v>
      </c>
      <c r="AH30" s="10">
        <v>1</v>
      </c>
      <c r="AI30" s="10">
        <v>2</v>
      </c>
      <c r="AJ30" s="10">
        <v>3</v>
      </c>
      <c r="AK30" s="10">
        <v>4</v>
      </c>
      <c r="AL30" s="10">
        <v>5</v>
      </c>
      <c r="AM30" s="10"/>
    </row>
    <row r="31" spans="1:44" ht="15.6" x14ac:dyDescent="0.3">
      <c r="A31">
        <v>5</v>
      </c>
      <c r="B31">
        <v>2</v>
      </c>
      <c r="C31">
        <v>2</v>
      </c>
      <c r="D31">
        <v>5</v>
      </c>
      <c r="E31">
        <v>2</v>
      </c>
      <c r="F31">
        <v>2</v>
      </c>
      <c r="G31">
        <v>2</v>
      </c>
      <c r="H31">
        <v>2</v>
      </c>
      <c r="I31">
        <v>4</v>
      </c>
      <c r="J31">
        <v>1</v>
      </c>
      <c r="K31">
        <v>2</v>
      </c>
      <c r="L31">
        <v>2</v>
      </c>
      <c r="O31" s="42">
        <v>1</v>
      </c>
      <c r="P31">
        <f>COUNTIFS($A$2:$A$137,"1",$I$2:$I$137,"1")</f>
        <v>0</v>
      </c>
      <c r="Q31">
        <f>COUNTIFS($A$2:$A$137,"1",$I$2:$I$137,"2")</f>
        <v>0</v>
      </c>
      <c r="R31">
        <f>COUNTIFS($A$2:$A$137,"1",$I$2:$I$137,"3")</f>
        <v>0</v>
      </c>
      <c r="S31">
        <f>COUNTIFS($A$2:$A$137,"1",$I$2:$I$137,"4")</f>
        <v>0</v>
      </c>
      <c r="T31">
        <f>COUNTIFS($A$2:$A$137,"1",$I$2:$I$137,"5")</f>
        <v>0</v>
      </c>
      <c r="U31" s="43">
        <f>SUM(P31:T31)</f>
        <v>0</v>
      </c>
      <c r="V31" s="43"/>
      <c r="X31" s="42">
        <v>1</v>
      </c>
      <c r="Y31">
        <f t="shared" ref="Y31:AC36" si="10">$U31*P$37/$U$37</f>
        <v>0</v>
      </c>
      <c r="Z31">
        <f t="shared" si="10"/>
        <v>0</v>
      </c>
      <c r="AA31">
        <f t="shared" si="10"/>
        <v>0</v>
      </c>
      <c r="AB31">
        <f t="shared" si="10"/>
        <v>0</v>
      </c>
      <c r="AC31">
        <f t="shared" si="10"/>
        <v>0</v>
      </c>
      <c r="AD31" s="43">
        <f>SUM(Y31:AC31)</f>
        <v>0</v>
      </c>
      <c r="AE31" s="43"/>
      <c r="AG31" s="42">
        <v>1</v>
      </c>
      <c r="AH31" s="49">
        <v>0</v>
      </c>
      <c r="AI31" s="49">
        <v>0</v>
      </c>
      <c r="AJ31" s="49">
        <v>0</v>
      </c>
      <c r="AK31" s="49">
        <v>0</v>
      </c>
      <c r="AL31" s="49">
        <v>0</v>
      </c>
      <c r="AM31" s="45">
        <f>SUM(AH31:AL31)</f>
        <v>0</v>
      </c>
      <c r="AN31" s="44"/>
    </row>
    <row r="32" spans="1:44" ht="15.6" x14ac:dyDescent="0.3">
      <c r="A32">
        <v>6</v>
      </c>
      <c r="B32">
        <v>2</v>
      </c>
      <c r="C32">
        <v>1</v>
      </c>
      <c r="D32">
        <v>5</v>
      </c>
      <c r="E32">
        <v>1</v>
      </c>
      <c r="F32">
        <v>1</v>
      </c>
      <c r="G32">
        <v>5</v>
      </c>
      <c r="H32">
        <v>4</v>
      </c>
      <c r="I32">
        <v>5</v>
      </c>
      <c r="J32">
        <v>5</v>
      </c>
      <c r="K32">
        <v>5</v>
      </c>
      <c r="L32">
        <v>4</v>
      </c>
      <c r="O32" s="42">
        <v>2</v>
      </c>
      <c r="P32">
        <f>COUNTIFS($A$2:$A$137,"2",$I$2:$I$137,"1")</f>
        <v>0</v>
      </c>
      <c r="Q32">
        <f>COUNTIFS($A$2:$A$137,"2",$I$2:$I$137,"2")</f>
        <v>0</v>
      </c>
      <c r="R32">
        <f>COUNTIFS($A$2:$A$137,"2",$I$2:$I$137,"3")</f>
        <v>5</v>
      </c>
      <c r="S32">
        <f>COUNTIFS($A$2:$A$137,"2",$I$2:$I$137,"4")</f>
        <v>9</v>
      </c>
      <c r="T32">
        <f>COUNTIFS($A$2:$A$137,"2",$I$2:$I$137,"5")</f>
        <v>10</v>
      </c>
      <c r="U32" s="43">
        <f t="shared" ref="U32:U37" si="11">SUM(O32:T32)</f>
        <v>26</v>
      </c>
      <c r="V32" s="43"/>
      <c r="X32" s="42">
        <v>2</v>
      </c>
      <c r="Y32">
        <f t="shared" si="10"/>
        <v>0.19117647058823528</v>
      </c>
      <c r="Z32">
        <f t="shared" si="10"/>
        <v>0.19117647058823528</v>
      </c>
      <c r="AA32">
        <f t="shared" si="10"/>
        <v>2.1029411764705883</v>
      </c>
      <c r="AB32">
        <f t="shared" si="10"/>
        <v>13.573529411764707</v>
      </c>
      <c r="AC32">
        <f t="shared" si="10"/>
        <v>9.9411764705882355</v>
      </c>
      <c r="AD32" s="43">
        <f t="shared" ref="AD32:AD36" si="12">SUM(Y32:AC32)</f>
        <v>26</v>
      </c>
      <c r="AE32" s="43"/>
      <c r="AG32" s="42">
        <v>2</v>
      </c>
      <c r="AH32">
        <f t="shared" ref="AH32:AL36" si="13">(P32-Y32)^2/Y32</f>
        <v>0.19117647058823531</v>
      </c>
      <c r="AI32">
        <f t="shared" si="13"/>
        <v>0.19117647058823531</v>
      </c>
      <c r="AJ32">
        <f t="shared" si="13"/>
        <v>3.9910530645824762</v>
      </c>
      <c r="AK32">
        <f t="shared" si="13"/>
        <v>1.5410267032056597</v>
      </c>
      <c r="AL32">
        <f t="shared" si="13"/>
        <v>3.4806822137138633E-4</v>
      </c>
      <c r="AM32" s="45">
        <f t="shared" ref="AM32:AM37" si="14">SUM(AH32:AL32)</f>
        <v>5.9147807771859782</v>
      </c>
      <c r="AN32" s="43"/>
      <c r="AP32" s="2" t="s">
        <v>204</v>
      </c>
      <c r="AQ32">
        <v>0.05</v>
      </c>
    </row>
    <row r="33" spans="1:44" ht="15.6" x14ac:dyDescent="0.3">
      <c r="A33">
        <v>3</v>
      </c>
      <c r="B33">
        <v>2</v>
      </c>
      <c r="C33">
        <v>2</v>
      </c>
      <c r="D33">
        <v>2</v>
      </c>
      <c r="E33">
        <v>2</v>
      </c>
      <c r="F33">
        <v>2</v>
      </c>
      <c r="G33">
        <v>3</v>
      </c>
      <c r="H33">
        <v>5</v>
      </c>
      <c r="I33">
        <v>4</v>
      </c>
      <c r="J33">
        <v>3</v>
      </c>
      <c r="K33">
        <v>4</v>
      </c>
      <c r="L33">
        <v>3</v>
      </c>
      <c r="O33" s="42">
        <v>3</v>
      </c>
      <c r="P33">
        <f>COUNTIFS($A$2:$A$137,"3",$I$2:$I$137,"1")</f>
        <v>0</v>
      </c>
      <c r="Q33">
        <f>COUNTIFS($A$2:$A$137,"3",$I$2:$I$137,"2")</f>
        <v>1</v>
      </c>
      <c r="R33">
        <f>COUNTIFS($A$2:$A$137,"3",$I$2:$I$137,"3")</f>
        <v>1</v>
      </c>
      <c r="S33">
        <f>COUNTIFS($A$2:$A$137,"3",$I$2:$I$137,"4")</f>
        <v>26</v>
      </c>
      <c r="T33">
        <f>COUNTIFS($A$2:$A$137,"3",$I$2:$I$137,"5")</f>
        <v>17</v>
      </c>
      <c r="U33" s="43">
        <f t="shared" si="11"/>
        <v>48</v>
      </c>
      <c r="V33" s="43"/>
      <c r="X33" s="42">
        <v>3</v>
      </c>
      <c r="Y33">
        <f t="shared" si="10"/>
        <v>0.35294117647058826</v>
      </c>
      <c r="Z33">
        <f t="shared" si="10"/>
        <v>0.35294117647058826</v>
      </c>
      <c r="AA33">
        <f t="shared" si="10"/>
        <v>3.8823529411764706</v>
      </c>
      <c r="AB33">
        <f t="shared" si="10"/>
        <v>25.058823529411764</v>
      </c>
      <c r="AC33">
        <f t="shared" si="10"/>
        <v>18.352941176470587</v>
      </c>
      <c r="AD33" s="43">
        <f t="shared" si="12"/>
        <v>48</v>
      </c>
      <c r="AE33" s="43"/>
      <c r="AG33" s="42">
        <v>3</v>
      </c>
      <c r="AH33">
        <f t="shared" si="13"/>
        <v>0.35294117647058826</v>
      </c>
      <c r="AI33">
        <f t="shared" si="13"/>
        <v>1.1862745098039214</v>
      </c>
      <c r="AJ33">
        <f t="shared" si="13"/>
        <v>2.1399286987522284</v>
      </c>
      <c r="AK33">
        <f t="shared" si="13"/>
        <v>3.5349351008008852E-2</v>
      </c>
      <c r="AL33">
        <f t="shared" si="13"/>
        <v>9.9736048265459842E-2</v>
      </c>
      <c r="AM33" s="45">
        <f t="shared" si="14"/>
        <v>3.8142297843002066</v>
      </c>
      <c r="AN33" s="43"/>
      <c r="AP33" s="2" t="s">
        <v>205</v>
      </c>
      <c r="AQ33">
        <f>4*4</f>
        <v>16</v>
      </c>
    </row>
    <row r="34" spans="1:44" ht="15.6" x14ac:dyDescent="0.3">
      <c r="A34">
        <v>3</v>
      </c>
      <c r="B34">
        <v>2</v>
      </c>
      <c r="C34">
        <v>2</v>
      </c>
      <c r="D34">
        <v>1</v>
      </c>
      <c r="E34">
        <v>2</v>
      </c>
      <c r="F34">
        <v>2</v>
      </c>
      <c r="G34">
        <v>5</v>
      </c>
      <c r="H34">
        <v>4</v>
      </c>
      <c r="I34">
        <v>4</v>
      </c>
      <c r="J34">
        <v>3</v>
      </c>
      <c r="K34">
        <v>5</v>
      </c>
      <c r="L34">
        <v>4</v>
      </c>
      <c r="O34" s="42">
        <v>4</v>
      </c>
      <c r="P34">
        <f>COUNTIFS($A$2:$A$137,"4",$I$2:$I$137,"1")</f>
        <v>1</v>
      </c>
      <c r="Q34">
        <f>COUNTIFS($A$2:$A$137,"4",$I$2:$I$137,"2")</f>
        <v>0</v>
      </c>
      <c r="R34">
        <f>COUNTIFS($A$2:$A$137,"4",$I$2:$I$137,"3")</f>
        <v>1</v>
      </c>
      <c r="S34">
        <f>COUNTIFS($A$2:$A$137,"4",$I$2:$I$137,"4")</f>
        <v>12</v>
      </c>
      <c r="T34">
        <f>COUNTIFS($A$2:$A$137,"4",$I$2:$I$137,"5")</f>
        <v>8</v>
      </c>
      <c r="U34" s="43">
        <f t="shared" si="11"/>
        <v>26</v>
      </c>
      <c r="V34" s="43"/>
      <c r="X34" s="42">
        <v>4</v>
      </c>
      <c r="Y34">
        <f t="shared" si="10"/>
        <v>0.19117647058823528</v>
      </c>
      <c r="Z34">
        <f t="shared" si="10"/>
        <v>0.19117647058823528</v>
      </c>
      <c r="AA34">
        <f t="shared" si="10"/>
        <v>2.1029411764705883</v>
      </c>
      <c r="AB34">
        <f t="shared" si="10"/>
        <v>13.573529411764707</v>
      </c>
      <c r="AC34">
        <f t="shared" si="10"/>
        <v>9.9411764705882355</v>
      </c>
      <c r="AD34" s="43">
        <f t="shared" si="12"/>
        <v>26</v>
      </c>
      <c r="AE34" s="43"/>
      <c r="AG34" s="42">
        <v>4</v>
      </c>
      <c r="AH34">
        <f t="shared" si="13"/>
        <v>3.4219457013574668</v>
      </c>
      <c r="AI34">
        <f t="shared" si="13"/>
        <v>0.19117647058823531</v>
      </c>
      <c r="AJ34">
        <f t="shared" si="13"/>
        <v>0.57846565199506383</v>
      </c>
      <c r="AK34">
        <f t="shared" si="13"/>
        <v>0.1824134854375121</v>
      </c>
      <c r="AL34">
        <f t="shared" si="13"/>
        <v>0.37904629307344245</v>
      </c>
      <c r="AM34" s="45">
        <f t="shared" si="14"/>
        <v>4.753047602451721</v>
      </c>
      <c r="AN34" s="43"/>
      <c r="AP34" s="2" t="s">
        <v>202</v>
      </c>
      <c r="AQ34" s="10">
        <f>SUM(AH31:AL36)</f>
        <v>19.419684973747813</v>
      </c>
    </row>
    <row r="35" spans="1:44" ht="15.6" x14ac:dyDescent="0.3">
      <c r="A35">
        <v>5</v>
      </c>
      <c r="B35">
        <v>2</v>
      </c>
      <c r="C35">
        <v>3</v>
      </c>
      <c r="D35">
        <v>5</v>
      </c>
      <c r="E35">
        <v>4</v>
      </c>
      <c r="F35">
        <v>1</v>
      </c>
      <c r="G35">
        <v>4</v>
      </c>
      <c r="H35">
        <v>5</v>
      </c>
      <c r="I35">
        <v>5</v>
      </c>
      <c r="J35">
        <v>4</v>
      </c>
      <c r="K35">
        <v>3</v>
      </c>
      <c r="L35">
        <v>4</v>
      </c>
      <c r="O35" s="42">
        <v>5</v>
      </c>
      <c r="P35">
        <f>COUNTIFS($A$2:$A$137,"5",$I$2:$I$137,"1")</f>
        <v>0</v>
      </c>
      <c r="Q35">
        <f>COUNTIFS($A$2:$A$137,"5",$I$2:$I$137,"2")</f>
        <v>0</v>
      </c>
      <c r="R35">
        <f>COUNTIFS($A$2:$A$137,"5",$I$2:$I$137,"3")</f>
        <v>4</v>
      </c>
      <c r="S35">
        <f>COUNTIFS($A$2:$A$137,"5",$I$2:$I$137,"4")</f>
        <v>17</v>
      </c>
      <c r="T35">
        <f>COUNTIFS($A$2:$A$137,"5",$I$2:$I$137,"5")</f>
        <v>14</v>
      </c>
      <c r="U35" s="43">
        <f t="shared" si="11"/>
        <v>40</v>
      </c>
      <c r="V35" s="43"/>
      <c r="X35" s="42">
        <v>5</v>
      </c>
      <c r="Y35">
        <f t="shared" si="10"/>
        <v>0.29411764705882354</v>
      </c>
      <c r="Z35">
        <f t="shared" si="10"/>
        <v>0.29411764705882354</v>
      </c>
      <c r="AA35">
        <f t="shared" si="10"/>
        <v>3.2352941176470589</v>
      </c>
      <c r="AB35">
        <f t="shared" si="10"/>
        <v>20.882352941176471</v>
      </c>
      <c r="AC35">
        <f t="shared" si="10"/>
        <v>15.294117647058824</v>
      </c>
      <c r="AD35" s="43">
        <f t="shared" si="12"/>
        <v>40</v>
      </c>
      <c r="AE35" s="43"/>
      <c r="AG35" s="42">
        <v>5</v>
      </c>
      <c r="AH35">
        <f t="shared" si="13"/>
        <v>0.29411764705882354</v>
      </c>
      <c r="AI35">
        <f t="shared" si="13"/>
        <v>0.29411764705882354</v>
      </c>
      <c r="AJ35">
        <f t="shared" si="13"/>
        <v>0.18074866310160426</v>
      </c>
      <c r="AK35">
        <f t="shared" si="13"/>
        <v>0.72178956089478052</v>
      </c>
      <c r="AL35">
        <f t="shared" si="13"/>
        <v>0.10950226244343904</v>
      </c>
      <c r="AM35" s="45">
        <f t="shared" si="14"/>
        <v>1.600275780557471</v>
      </c>
      <c r="AN35" s="43"/>
      <c r="AP35" s="2" t="s">
        <v>203</v>
      </c>
      <c r="AQ35" s="50">
        <v>26.3</v>
      </c>
    </row>
    <row r="36" spans="1:44" ht="15.6" x14ac:dyDescent="0.3">
      <c r="A36">
        <v>5</v>
      </c>
      <c r="B36">
        <v>2</v>
      </c>
      <c r="C36">
        <v>2</v>
      </c>
      <c r="D36">
        <v>5</v>
      </c>
      <c r="E36">
        <v>2</v>
      </c>
      <c r="F36">
        <v>2</v>
      </c>
      <c r="G36">
        <v>4</v>
      </c>
      <c r="H36">
        <v>5</v>
      </c>
      <c r="I36">
        <v>4</v>
      </c>
      <c r="J36">
        <v>3</v>
      </c>
      <c r="K36">
        <v>5</v>
      </c>
      <c r="L36">
        <v>4</v>
      </c>
      <c r="O36" s="42">
        <v>6</v>
      </c>
      <c r="P36">
        <f>COUNTIFS($A$2:$A$137,"6",$I$2:$I$137,"1")</f>
        <v>0</v>
      </c>
      <c r="Q36">
        <f>COUNTIFS($A$2:$A$137,"6",$I$2:$I$137,"2")</f>
        <v>0</v>
      </c>
      <c r="R36">
        <f>COUNTIFS($A$2:$A$137,"6",$I$2:$I$137,"3")</f>
        <v>0</v>
      </c>
      <c r="S36">
        <f>COUNTIFS($A$2:$A$137,"6",$I$2:$I$137,"4")</f>
        <v>7</v>
      </c>
      <c r="T36">
        <f>COUNTIFS($A$2:$A$137,"6",$I$2:$I$137,"5")</f>
        <v>3</v>
      </c>
      <c r="U36" s="43">
        <f t="shared" si="11"/>
        <v>16</v>
      </c>
      <c r="V36" s="43"/>
      <c r="X36" s="42">
        <v>6</v>
      </c>
      <c r="Y36">
        <f t="shared" si="10"/>
        <v>0.11764705882352941</v>
      </c>
      <c r="Z36">
        <f t="shared" si="10"/>
        <v>0.11764705882352941</v>
      </c>
      <c r="AA36">
        <f t="shared" si="10"/>
        <v>1.2941176470588236</v>
      </c>
      <c r="AB36">
        <f t="shared" si="10"/>
        <v>8.3529411764705888</v>
      </c>
      <c r="AC36">
        <f t="shared" si="10"/>
        <v>6.117647058823529</v>
      </c>
      <c r="AD36" s="43">
        <f t="shared" si="12"/>
        <v>16</v>
      </c>
      <c r="AE36" s="43"/>
      <c r="AG36" s="42">
        <v>6</v>
      </c>
      <c r="AH36">
        <f t="shared" si="13"/>
        <v>0.11764705882352941</v>
      </c>
      <c r="AI36">
        <f t="shared" si="13"/>
        <v>0.11764705882352941</v>
      </c>
      <c r="AJ36">
        <f t="shared" si="13"/>
        <v>1.2941176470588236</v>
      </c>
      <c r="AK36">
        <f t="shared" si="13"/>
        <v>0.21913835956917993</v>
      </c>
      <c r="AL36">
        <f t="shared" si="13"/>
        <v>1.5888009049773753</v>
      </c>
      <c r="AM36" s="45">
        <f t="shared" si="14"/>
        <v>3.3373510292524378</v>
      </c>
      <c r="AN36" s="43"/>
      <c r="AP36" s="2" t="s">
        <v>206</v>
      </c>
      <c r="AQ36">
        <f>_xlfn.CHISQ.DIST.RT(AQ34,AQ33)</f>
        <v>0.24750134385325542</v>
      </c>
    </row>
    <row r="37" spans="1:44" ht="18" x14ac:dyDescent="0.35">
      <c r="A37">
        <v>5</v>
      </c>
      <c r="B37">
        <v>2</v>
      </c>
      <c r="C37">
        <v>2</v>
      </c>
      <c r="D37">
        <v>4</v>
      </c>
      <c r="E37">
        <v>4</v>
      </c>
      <c r="F37">
        <v>1</v>
      </c>
      <c r="G37">
        <v>5</v>
      </c>
      <c r="H37">
        <v>4</v>
      </c>
      <c r="I37">
        <v>4</v>
      </c>
      <c r="J37">
        <v>5</v>
      </c>
      <c r="K37">
        <v>4</v>
      </c>
      <c r="L37">
        <v>2</v>
      </c>
      <c r="P37" s="43">
        <f>SUM(P31:P36)</f>
        <v>1</v>
      </c>
      <c r="Q37" s="43">
        <f>SUM(Q31:Q36)</f>
        <v>1</v>
      </c>
      <c r="R37" s="43">
        <f>SUM(R31:R36)</f>
        <v>11</v>
      </c>
      <c r="S37" s="43">
        <f>SUM(S31:S36)</f>
        <v>71</v>
      </c>
      <c r="T37" s="43">
        <f>SUM(T31:T36)</f>
        <v>52</v>
      </c>
      <c r="U37" s="43">
        <f t="shared" si="11"/>
        <v>136</v>
      </c>
      <c r="V37" s="43"/>
      <c r="Y37" s="43">
        <f>SUM(Y31:Y36)</f>
        <v>1.1470588235294119</v>
      </c>
      <c r="Z37" s="43">
        <f>SUM(Z31:Z36)</f>
        <v>1.1470588235294119</v>
      </c>
      <c r="AA37" s="43">
        <f>SUM(AA31:AA36)</f>
        <v>12.617647058823531</v>
      </c>
      <c r="AB37" s="43">
        <f>SUM(AB31:AB36)</f>
        <v>81.441176470588246</v>
      </c>
      <c r="AC37" s="43">
        <f>SUM(AC31:AC36)</f>
        <v>59.647058823529413</v>
      </c>
      <c r="AD37" s="48">
        <f>SUM(Y37:AC37)</f>
        <v>156.00000000000003</v>
      </c>
      <c r="AE37" s="43"/>
      <c r="AH37" s="48">
        <f>SUM(AH31:AH36)</f>
        <v>4.377828054298643</v>
      </c>
      <c r="AI37" s="48">
        <f>SUM(AI31:AI36)</f>
        <v>1.9803921568627449</v>
      </c>
      <c r="AJ37" s="48">
        <f>SUM(AJ31:AJ36)</f>
        <v>8.1843137254901954</v>
      </c>
      <c r="AK37" s="48">
        <f>SUM(AK31:AK36)</f>
        <v>2.6997174601151412</v>
      </c>
      <c r="AL37" s="48">
        <f>SUM(AL31:AL36)</f>
        <v>2.177433576981088</v>
      </c>
      <c r="AM37" s="46">
        <f t="shared" si="14"/>
        <v>19.419684973747813</v>
      </c>
      <c r="AN37" s="43"/>
      <c r="AP37" t="s">
        <v>210</v>
      </c>
    </row>
    <row r="38" spans="1:44" ht="15.6" x14ac:dyDescent="0.3">
      <c r="A38">
        <v>3</v>
      </c>
      <c r="B38">
        <v>2</v>
      </c>
      <c r="C38">
        <v>1</v>
      </c>
      <c r="D38">
        <v>2</v>
      </c>
      <c r="E38">
        <v>1</v>
      </c>
      <c r="F38">
        <v>2</v>
      </c>
      <c r="G38">
        <v>5</v>
      </c>
      <c r="H38">
        <v>5</v>
      </c>
      <c r="I38">
        <v>5</v>
      </c>
      <c r="J38">
        <v>3</v>
      </c>
      <c r="K38">
        <v>4</v>
      </c>
      <c r="L38">
        <v>3</v>
      </c>
      <c r="AP38" s="2" t="s">
        <v>313</v>
      </c>
      <c r="AQ38" s="50">
        <f>SQRT(AQ34/($AQ$9*$AQ$10))</f>
        <v>0.18893901216897838</v>
      </c>
      <c r="AR38" t="s">
        <v>314</v>
      </c>
    </row>
    <row r="39" spans="1:44" x14ac:dyDescent="0.3">
      <c r="A39">
        <v>6</v>
      </c>
      <c r="B39">
        <v>2</v>
      </c>
      <c r="C39">
        <v>1</v>
      </c>
      <c r="D39">
        <v>5</v>
      </c>
      <c r="E39">
        <v>2</v>
      </c>
      <c r="F39">
        <v>2</v>
      </c>
      <c r="G39">
        <v>5</v>
      </c>
      <c r="H39">
        <v>4</v>
      </c>
      <c r="I39">
        <v>4</v>
      </c>
      <c r="J39">
        <v>5</v>
      </c>
      <c r="K39">
        <v>5</v>
      </c>
      <c r="L39">
        <v>5</v>
      </c>
    </row>
    <row r="40" spans="1:44" x14ac:dyDescent="0.3">
      <c r="A40">
        <v>5</v>
      </c>
      <c r="B40">
        <v>2</v>
      </c>
      <c r="C40">
        <v>3</v>
      </c>
      <c r="D40">
        <v>5</v>
      </c>
      <c r="E40">
        <v>4</v>
      </c>
      <c r="F40">
        <v>2</v>
      </c>
      <c r="G40">
        <v>5</v>
      </c>
      <c r="H40">
        <v>5</v>
      </c>
      <c r="I40">
        <v>5</v>
      </c>
      <c r="J40">
        <v>3</v>
      </c>
      <c r="K40">
        <v>4</v>
      </c>
      <c r="L40">
        <v>4</v>
      </c>
    </row>
    <row r="41" spans="1:44" x14ac:dyDescent="0.3">
      <c r="A41">
        <v>3</v>
      </c>
      <c r="B41">
        <v>2</v>
      </c>
      <c r="C41">
        <v>2</v>
      </c>
      <c r="D41">
        <v>2</v>
      </c>
      <c r="E41">
        <v>2</v>
      </c>
      <c r="F41">
        <v>3</v>
      </c>
      <c r="G41">
        <v>2</v>
      </c>
      <c r="H41">
        <v>2</v>
      </c>
      <c r="I41">
        <v>4</v>
      </c>
      <c r="J41">
        <v>2</v>
      </c>
      <c r="K41">
        <v>4</v>
      </c>
      <c r="L41">
        <v>5</v>
      </c>
    </row>
    <row r="42" spans="1:44" x14ac:dyDescent="0.3">
      <c r="A42">
        <v>6</v>
      </c>
      <c r="B42">
        <v>2</v>
      </c>
      <c r="C42">
        <v>1</v>
      </c>
      <c r="D42">
        <v>5</v>
      </c>
      <c r="E42">
        <v>1</v>
      </c>
      <c r="F42">
        <v>1</v>
      </c>
      <c r="G42">
        <v>2</v>
      </c>
      <c r="H42">
        <v>2</v>
      </c>
      <c r="I42">
        <v>4</v>
      </c>
      <c r="J42">
        <v>2</v>
      </c>
      <c r="K42">
        <v>2</v>
      </c>
      <c r="L42">
        <v>2</v>
      </c>
    </row>
    <row r="43" spans="1:44" x14ac:dyDescent="0.3">
      <c r="A43">
        <v>5</v>
      </c>
      <c r="B43">
        <v>2</v>
      </c>
      <c r="C43">
        <v>1</v>
      </c>
      <c r="D43">
        <v>5</v>
      </c>
      <c r="E43">
        <v>1</v>
      </c>
      <c r="F43">
        <v>2</v>
      </c>
      <c r="G43">
        <v>4</v>
      </c>
      <c r="H43">
        <v>4</v>
      </c>
      <c r="I43">
        <v>4</v>
      </c>
      <c r="J43">
        <v>3</v>
      </c>
      <c r="K43">
        <v>5</v>
      </c>
      <c r="L43">
        <v>2</v>
      </c>
      <c r="P43" s="106" t="s">
        <v>345</v>
      </c>
      <c r="Q43" s="106"/>
      <c r="R43" s="106"/>
      <c r="S43" s="106"/>
      <c r="T43" s="106"/>
      <c r="U43" s="106"/>
      <c r="Y43" s="106" t="s">
        <v>350</v>
      </c>
      <c r="Z43" s="106"/>
      <c r="AA43" s="106"/>
      <c r="AB43" s="106"/>
      <c r="AC43" s="106"/>
      <c r="AD43" s="106"/>
      <c r="AG43" s="106" t="s">
        <v>355</v>
      </c>
      <c r="AH43" s="106"/>
      <c r="AI43" s="106"/>
      <c r="AJ43" s="106"/>
      <c r="AK43" s="106"/>
      <c r="AL43" s="106"/>
      <c r="AM43" s="106"/>
    </row>
    <row r="44" spans="1:44" ht="15.6" x14ac:dyDescent="0.3">
      <c r="A44">
        <v>5</v>
      </c>
      <c r="B44">
        <v>1</v>
      </c>
      <c r="C44">
        <v>1</v>
      </c>
      <c r="D44">
        <v>5</v>
      </c>
      <c r="E44">
        <v>1</v>
      </c>
      <c r="F44">
        <v>2</v>
      </c>
      <c r="G44">
        <v>4</v>
      </c>
      <c r="H44">
        <v>5</v>
      </c>
      <c r="I44">
        <v>5</v>
      </c>
      <c r="J44">
        <v>3</v>
      </c>
      <c r="K44">
        <v>3</v>
      </c>
      <c r="L44">
        <v>3</v>
      </c>
      <c r="O44" s="11" t="s">
        <v>142</v>
      </c>
      <c r="P44" s="10">
        <v>1</v>
      </c>
      <c r="Q44" s="10">
        <v>2</v>
      </c>
      <c r="R44" s="10">
        <v>3</v>
      </c>
      <c r="S44" s="10">
        <v>4</v>
      </c>
      <c r="T44" s="10">
        <v>5</v>
      </c>
      <c r="U44" s="10"/>
      <c r="V44" s="44"/>
      <c r="X44" s="11" t="s">
        <v>142</v>
      </c>
      <c r="Y44" s="10">
        <v>1</v>
      </c>
      <c r="Z44" s="10">
        <v>2</v>
      </c>
      <c r="AA44" s="10">
        <v>3</v>
      </c>
      <c r="AB44" s="10">
        <v>4</v>
      </c>
      <c r="AC44" s="10">
        <v>5</v>
      </c>
      <c r="AD44" s="10"/>
      <c r="AE44" s="52"/>
      <c r="AG44" s="11" t="s">
        <v>142</v>
      </c>
      <c r="AH44" s="10">
        <v>1</v>
      </c>
      <c r="AI44" s="10">
        <v>2</v>
      </c>
      <c r="AJ44" s="10">
        <v>3</v>
      </c>
      <c r="AK44" s="10">
        <v>4</v>
      </c>
      <c r="AL44" s="10">
        <v>5</v>
      </c>
      <c r="AM44" s="10"/>
    </row>
    <row r="45" spans="1:44" ht="15.6" x14ac:dyDescent="0.3">
      <c r="A45">
        <v>5</v>
      </c>
      <c r="B45">
        <v>2</v>
      </c>
      <c r="C45">
        <v>3</v>
      </c>
      <c r="D45">
        <v>5</v>
      </c>
      <c r="E45">
        <v>3</v>
      </c>
      <c r="F45">
        <v>2</v>
      </c>
      <c r="G45">
        <v>3</v>
      </c>
      <c r="H45">
        <v>4</v>
      </c>
      <c r="I45">
        <v>5</v>
      </c>
      <c r="J45">
        <v>2</v>
      </c>
      <c r="K45">
        <v>2</v>
      </c>
      <c r="L45">
        <v>4</v>
      </c>
      <c r="O45" s="42">
        <v>1</v>
      </c>
      <c r="P45">
        <f>COUNTIFS($A$2:$A$137,"1",$J$2:$J$137,"1")</f>
        <v>0</v>
      </c>
      <c r="Q45">
        <f>COUNTIFS($A$2:$A$137,"1",$J$2:$J$137,"2")</f>
        <v>0</v>
      </c>
      <c r="R45">
        <f>COUNTIFS($A$2:$A$137,"1",$J$2:$J$137,"3")</f>
        <v>0</v>
      </c>
      <c r="S45">
        <f>COUNTIFS($A$2:$A$137,"1",$J$2:$J$137,"4")</f>
        <v>0</v>
      </c>
      <c r="T45">
        <f>COUNTIFS($A$2:$A$137,"1",$J$2:$J$137,"5")</f>
        <v>0</v>
      </c>
      <c r="U45" s="51">
        <f>SUM(P45:T45)</f>
        <v>0</v>
      </c>
      <c r="V45" s="43"/>
      <c r="X45" s="42">
        <v>1</v>
      </c>
      <c r="Y45">
        <f>$U45*P$37/$U$37</f>
        <v>0</v>
      </c>
      <c r="Z45">
        <f>$U45*Q$37/$U$37</f>
        <v>0</v>
      </c>
      <c r="AA45">
        <f>$U45*R$37/$U$37</f>
        <v>0</v>
      </c>
      <c r="AB45">
        <f>$U45*S$37/$U$37</f>
        <v>0</v>
      </c>
      <c r="AC45">
        <f>$U45*T$37/$U$37</f>
        <v>0</v>
      </c>
      <c r="AD45" s="43">
        <f>SUM(Y45:AC45)</f>
        <v>0</v>
      </c>
      <c r="AE45" s="43"/>
      <c r="AG45" s="42">
        <v>1</v>
      </c>
      <c r="AH45" s="49">
        <v>0</v>
      </c>
      <c r="AI45" s="49">
        <v>0</v>
      </c>
      <c r="AJ45" s="49">
        <v>0</v>
      </c>
      <c r="AK45" s="49">
        <v>0</v>
      </c>
      <c r="AL45" s="49">
        <v>0</v>
      </c>
      <c r="AM45" s="45">
        <f>SUM(AH45:AL45)</f>
        <v>0</v>
      </c>
      <c r="AN45" s="44"/>
    </row>
    <row r="46" spans="1:44" ht="15.6" x14ac:dyDescent="0.3">
      <c r="A46">
        <v>3</v>
      </c>
      <c r="B46">
        <v>2</v>
      </c>
      <c r="C46">
        <v>2</v>
      </c>
      <c r="D46">
        <v>3</v>
      </c>
      <c r="E46">
        <v>2</v>
      </c>
      <c r="F46">
        <v>2</v>
      </c>
      <c r="G46">
        <v>5</v>
      </c>
      <c r="H46">
        <v>5</v>
      </c>
      <c r="I46">
        <v>5</v>
      </c>
      <c r="J46">
        <v>5</v>
      </c>
      <c r="K46">
        <v>4</v>
      </c>
      <c r="L46">
        <v>5</v>
      </c>
      <c r="O46" s="42">
        <v>2</v>
      </c>
      <c r="P46">
        <f>COUNTIFS($A$2:$A$137,"2",$J$2:$J$137,"1")</f>
        <v>0</v>
      </c>
      <c r="Q46">
        <f>COUNTIFS($A$2:$A$137,"2",$J$2:$J$137,"2")</f>
        <v>3</v>
      </c>
      <c r="R46">
        <f>COUNTIFS($A$2:$A$137,"2",$J$2:$J$137,"3")</f>
        <v>13</v>
      </c>
      <c r="S46">
        <f>COUNTIFS($A$2:$A$137,"2",$J$2:$J$137,"4")</f>
        <v>7</v>
      </c>
      <c r="T46">
        <f>COUNTIFS($A$2:$A$137,"2",$J$2:$J$137,"5")</f>
        <v>1</v>
      </c>
      <c r="U46" s="51">
        <f t="shared" ref="U46:U51" si="15">SUM(P46:T46)</f>
        <v>24</v>
      </c>
      <c r="V46" s="43"/>
      <c r="X46" s="42">
        <v>2</v>
      </c>
      <c r="Y46">
        <f>$U46*P$51/$U$51</f>
        <v>0.70588235294117652</v>
      </c>
      <c r="Z46">
        <f t="shared" ref="Z46:AC50" si="16">$U46*Q$51/$U$51</f>
        <v>4.9411764705882355</v>
      </c>
      <c r="AA46">
        <f t="shared" si="16"/>
        <v>9.7058823529411757</v>
      </c>
      <c r="AB46">
        <f t="shared" si="16"/>
        <v>6.5294117647058822</v>
      </c>
      <c r="AC46">
        <f t="shared" si="16"/>
        <v>2.1176470588235294</v>
      </c>
      <c r="AD46" s="43">
        <f t="shared" ref="AD46:AD51" si="17">SUM(Y46:AC46)</f>
        <v>24</v>
      </c>
      <c r="AE46" s="43"/>
      <c r="AG46" s="42">
        <v>2</v>
      </c>
      <c r="AH46">
        <f t="shared" ref="AH46:AL50" si="18">(P46-Y46)^2/Y46</f>
        <v>0.70588235294117652</v>
      </c>
      <c r="AI46">
        <f t="shared" si="18"/>
        <v>0.76260504201680679</v>
      </c>
      <c r="AJ46">
        <f t="shared" si="18"/>
        <v>1.1180035650623892</v>
      </c>
      <c r="AK46">
        <f t="shared" si="18"/>
        <v>3.3916269210386873E-2</v>
      </c>
      <c r="AL46">
        <f t="shared" si="18"/>
        <v>0.58986928104575165</v>
      </c>
      <c r="AM46" s="45">
        <f t="shared" ref="AM46:AM51" si="19">SUM(AH46:AL46)</f>
        <v>3.2102765102765112</v>
      </c>
      <c r="AN46" s="43"/>
      <c r="AP46" s="2" t="s">
        <v>204</v>
      </c>
      <c r="AQ46">
        <v>0.05</v>
      </c>
    </row>
    <row r="47" spans="1:44" ht="15.6" x14ac:dyDescent="0.3">
      <c r="A47">
        <v>5</v>
      </c>
      <c r="B47">
        <v>2</v>
      </c>
      <c r="C47">
        <v>3</v>
      </c>
      <c r="D47">
        <v>5</v>
      </c>
      <c r="E47">
        <v>3</v>
      </c>
      <c r="F47">
        <v>2</v>
      </c>
      <c r="G47">
        <v>4</v>
      </c>
      <c r="H47">
        <v>5</v>
      </c>
      <c r="I47">
        <v>5</v>
      </c>
      <c r="J47">
        <v>4</v>
      </c>
      <c r="K47">
        <v>4</v>
      </c>
      <c r="L47">
        <v>3</v>
      </c>
      <c r="O47" s="42">
        <v>3</v>
      </c>
      <c r="P47">
        <f>COUNTIFS($A$2:$A$137,"3",$J$2:$J$137,"1")</f>
        <v>1</v>
      </c>
      <c r="Q47">
        <f>COUNTIFS($A$2:$A$137,"3",$J$2:$J$137,"2")</f>
        <v>13</v>
      </c>
      <c r="R47">
        <f>COUNTIFS($A$2:$A$137,"3",$J$2:$J$137,"3")</f>
        <v>20</v>
      </c>
      <c r="S47">
        <f>COUNTIFS($A$2:$A$137,"3",$J$2:$J$137,"4")</f>
        <v>8</v>
      </c>
      <c r="T47">
        <f>COUNTIFS($A$2:$A$137,"3",$J$2:$J$137,"5")</f>
        <v>3</v>
      </c>
      <c r="U47" s="51">
        <f t="shared" si="15"/>
        <v>45</v>
      </c>
      <c r="V47" s="43"/>
      <c r="X47" s="42">
        <v>3</v>
      </c>
      <c r="Y47">
        <f>$U47*P$51/$U$51</f>
        <v>1.3235294117647058</v>
      </c>
      <c r="Z47">
        <f t="shared" si="16"/>
        <v>9.264705882352942</v>
      </c>
      <c r="AA47">
        <f t="shared" si="16"/>
        <v>18.198529411764707</v>
      </c>
      <c r="AB47">
        <f t="shared" si="16"/>
        <v>12.242647058823529</v>
      </c>
      <c r="AC47">
        <f t="shared" si="16"/>
        <v>3.9705882352941178</v>
      </c>
      <c r="AD47" s="43">
        <f t="shared" si="17"/>
        <v>45</v>
      </c>
      <c r="AE47" s="43"/>
      <c r="AG47" s="42">
        <v>3</v>
      </c>
      <c r="AH47">
        <f t="shared" si="18"/>
        <v>7.9084967320261421E-2</v>
      </c>
      <c r="AI47">
        <f t="shared" si="18"/>
        <v>1.5059757236227815</v>
      </c>
      <c r="AJ47">
        <f t="shared" si="18"/>
        <v>0.17832739156268554</v>
      </c>
      <c r="AK47">
        <f t="shared" si="18"/>
        <v>1.4702746864511569</v>
      </c>
      <c r="AL47">
        <f t="shared" si="18"/>
        <v>0.23725490196078436</v>
      </c>
      <c r="AM47" s="45">
        <f t="shared" si="19"/>
        <v>3.4709176709176699</v>
      </c>
      <c r="AN47" s="43"/>
      <c r="AP47" s="2" t="s">
        <v>205</v>
      </c>
      <c r="AQ47">
        <f>4*4</f>
        <v>16</v>
      </c>
    </row>
    <row r="48" spans="1:44" ht="15.6" x14ac:dyDescent="0.3">
      <c r="A48">
        <v>3</v>
      </c>
      <c r="B48">
        <v>2</v>
      </c>
      <c r="C48">
        <v>2</v>
      </c>
      <c r="D48">
        <v>2</v>
      </c>
      <c r="E48">
        <v>2</v>
      </c>
      <c r="F48">
        <v>2</v>
      </c>
      <c r="G48">
        <v>3</v>
      </c>
      <c r="H48">
        <v>5</v>
      </c>
      <c r="I48">
        <v>5</v>
      </c>
      <c r="J48">
        <v>3</v>
      </c>
      <c r="K48">
        <v>2</v>
      </c>
      <c r="L48">
        <v>2</v>
      </c>
      <c r="O48" s="42">
        <v>4</v>
      </c>
      <c r="P48">
        <f>COUNTIFS($A$2:$A$137,"4",$J$2:$J$137,"1")</f>
        <v>2</v>
      </c>
      <c r="Q48">
        <f>COUNTIFS($A$2:$A$137,"4",$J$2:$J$137,"2")</f>
        <v>4</v>
      </c>
      <c r="R48">
        <f>COUNTIFS($A$2:$A$137,"4",$J$2:$J$137,"3")</f>
        <v>6</v>
      </c>
      <c r="S48">
        <f>COUNTIFS($A$2:$A$137,"4",$J$2:$J$137,"4")</f>
        <v>8</v>
      </c>
      <c r="T48">
        <f>COUNTIFS($A$2:$A$137,"4",$J$2:$J$137,"5")</f>
        <v>2</v>
      </c>
      <c r="U48" s="51">
        <f t="shared" si="15"/>
        <v>22</v>
      </c>
      <c r="V48" s="43"/>
      <c r="X48" s="42">
        <v>4</v>
      </c>
      <c r="Y48">
        <f>$U48*P$51/$U$51</f>
        <v>0.6470588235294118</v>
      </c>
      <c r="Z48">
        <f t="shared" si="16"/>
        <v>4.5294117647058822</v>
      </c>
      <c r="AA48">
        <f t="shared" si="16"/>
        <v>8.8970588235294112</v>
      </c>
      <c r="AB48">
        <f t="shared" si="16"/>
        <v>5.9852941176470589</v>
      </c>
      <c r="AC48">
        <f t="shared" si="16"/>
        <v>1.9411764705882353</v>
      </c>
      <c r="AD48" s="43">
        <f t="shared" si="17"/>
        <v>22</v>
      </c>
      <c r="AE48" s="43"/>
      <c r="AG48" s="42">
        <v>4</v>
      </c>
      <c r="AH48">
        <f t="shared" si="18"/>
        <v>2.8288770053475938</v>
      </c>
      <c r="AI48">
        <f t="shared" si="18"/>
        <v>6.1879297173414803E-2</v>
      </c>
      <c r="AJ48">
        <f t="shared" si="18"/>
        <v>0.94333981526494859</v>
      </c>
      <c r="AK48">
        <f t="shared" si="18"/>
        <v>0.67816881052175171</v>
      </c>
      <c r="AL48">
        <f t="shared" si="18"/>
        <v>1.7825311942959009E-3</v>
      </c>
      <c r="AM48" s="45">
        <f t="shared" si="19"/>
        <v>4.514047459502005</v>
      </c>
      <c r="AN48" s="43"/>
      <c r="AP48" s="2" t="s">
        <v>202</v>
      </c>
      <c r="AQ48" s="10">
        <f>SUM(AH45:AL50)</f>
        <v>18.07153908842221</v>
      </c>
    </row>
    <row r="49" spans="1:44" ht="15.6" x14ac:dyDescent="0.3">
      <c r="A49">
        <v>2</v>
      </c>
      <c r="B49">
        <v>2</v>
      </c>
      <c r="C49">
        <v>1</v>
      </c>
      <c r="D49">
        <v>2</v>
      </c>
      <c r="E49">
        <v>1</v>
      </c>
      <c r="F49">
        <v>2</v>
      </c>
      <c r="G49">
        <v>3</v>
      </c>
      <c r="H49">
        <v>5</v>
      </c>
      <c r="I49">
        <v>4</v>
      </c>
      <c r="J49">
        <v>4</v>
      </c>
      <c r="K49">
        <v>3</v>
      </c>
      <c r="L49">
        <v>4</v>
      </c>
      <c r="O49" s="42">
        <v>5</v>
      </c>
      <c r="P49">
        <f>COUNTIFS($A$2:$A$137,"5",$J$2:$J$137,"1")</f>
        <v>1</v>
      </c>
      <c r="Q49">
        <f>COUNTIFS($A$2:$A$137,"5",$J$2:$J$137,"2")</f>
        <v>6</v>
      </c>
      <c r="R49">
        <f>COUNTIFS($A$2:$A$137,"5",$J$2:$J$137,"3")</f>
        <v>14</v>
      </c>
      <c r="S49">
        <f>COUNTIFS($A$2:$A$137,"5",$J$2:$J$137,"4")</f>
        <v>11</v>
      </c>
      <c r="T49">
        <f>COUNTIFS($A$2:$A$137,"5",$J$2:$J$137,"5")</f>
        <v>3</v>
      </c>
      <c r="U49" s="51">
        <f t="shared" si="15"/>
        <v>35</v>
      </c>
      <c r="V49" s="43"/>
      <c r="X49" s="42">
        <v>5</v>
      </c>
      <c r="Y49">
        <f>$U49*P$51/$U$51</f>
        <v>1.0294117647058822</v>
      </c>
      <c r="Z49">
        <f t="shared" si="16"/>
        <v>7.2058823529411766</v>
      </c>
      <c r="AA49">
        <f t="shared" si="16"/>
        <v>14.154411764705882</v>
      </c>
      <c r="AB49">
        <f t="shared" si="16"/>
        <v>9.5220588235294112</v>
      </c>
      <c r="AC49">
        <f t="shared" si="16"/>
        <v>3.0882352941176472</v>
      </c>
      <c r="AD49" s="43">
        <f t="shared" si="17"/>
        <v>35</v>
      </c>
      <c r="AE49" s="43"/>
      <c r="AG49" s="42">
        <v>5</v>
      </c>
      <c r="AH49">
        <f t="shared" si="18"/>
        <v>8.403361344537756E-4</v>
      </c>
      <c r="AI49">
        <f t="shared" si="18"/>
        <v>0.2018007202881153</v>
      </c>
      <c r="AJ49">
        <f t="shared" si="18"/>
        <v>1.6844919786096232E-3</v>
      </c>
      <c r="AK49">
        <f t="shared" si="18"/>
        <v>0.22939473086531931</v>
      </c>
      <c r="AL49">
        <f t="shared" si="18"/>
        <v>2.5210084033613521E-3</v>
      </c>
      <c r="AM49" s="45">
        <f t="shared" si="19"/>
        <v>0.43624128766985937</v>
      </c>
      <c r="AN49" s="43"/>
      <c r="AP49" s="2" t="s">
        <v>203</v>
      </c>
      <c r="AQ49" s="50">
        <v>26.3</v>
      </c>
    </row>
    <row r="50" spans="1:44" ht="15.6" x14ac:dyDescent="0.3">
      <c r="A50">
        <v>5</v>
      </c>
      <c r="B50">
        <v>2</v>
      </c>
      <c r="C50">
        <v>2</v>
      </c>
      <c r="D50">
        <v>5</v>
      </c>
      <c r="E50">
        <v>2</v>
      </c>
      <c r="F50">
        <v>3</v>
      </c>
      <c r="G50">
        <v>3</v>
      </c>
      <c r="H50">
        <v>3</v>
      </c>
      <c r="I50">
        <v>3</v>
      </c>
      <c r="J50">
        <v>2</v>
      </c>
      <c r="K50">
        <v>3</v>
      </c>
      <c r="L50">
        <v>3</v>
      </c>
      <c r="O50" s="42">
        <v>6</v>
      </c>
      <c r="P50">
        <f>COUNTIFS($A$2:$A$137,"6",$J$2:$J$137,"1")</f>
        <v>0</v>
      </c>
      <c r="Q50">
        <f>COUNTIFS($A$2:$A$137,"6",$J$2:$J$137,"2")</f>
        <v>2</v>
      </c>
      <c r="R50">
        <f>COUNTIFS($A$2:$A$137,"6",$J$2:$J$137,"3")</f>
        <v>2</v>
      </c>
      <c r="S50">
        <f>COUNTIFS($A$2:$A$137,"6",$J$2:$J$137,"4")</f>
        <v>3</v>
      </c>
      <c r="T50">
        <f>COUNTIFS($A$2:$A$137,"6",$J$2:$J$137,"5")</f>
        <v>3</v>
      </c>
      <c r="U50" s="51">
        <f t="shared" si="15"/>
        <v>10</v>
      </c>
      <c r="V50" s="43"/>
      <c r="X50" s="42">
        <v>6</v>
      </c>
      <c r="Y50">
        <f>$U50*P$51/$U$51</f>
        <v>0.29411764705882354</v>
      </c>
      <c r="Z50">
        <f t="shared" si="16"/>
        <v>2.0588235294117645</v>
      </c>
      <c r="AA50">
        <f t="shared" si="16"/>
        <v>4.0441176470588234</v>
      </c>
      <c r="AB50">
        <f t="shared" si="16"/>
        <v>2.7205882352941178</v>
      </c>
      <c r="AC50">
        <f t="shared" si="16"/>
        <v>0.88235294117647056</v>
      </c>
      <c r="AD50" s="43">
        <f t="shared" si="17"/>
        <v>10</v>
      </c>
      <c r="AE50" s="43"/>
      <c r="AG50" s="42">
        <v>6</v>
      </c>
      <c r="AH50">
        <f t="shared" si="18"/>
        <v>0.29411764705882354</v>
      </c>
      <c r="AI50">
        <f t="shared" si="18"/>
        <v>1.6806722689075512E-3</v>
      </c>
      <c r="AJ50">
        <f t="shared" si="18"/>
        <v>1.0332085561497324</v>
      </c>
      <c r="AK50">
        <f t="shared" si="18"/>
        <v>2.8696343402225735E-2</v>
      </c>
      <c r="AL50">
        <f t="shared" si="18"/>
        <v>5.0823529411764712</v>
      </c>
      <c r="AM50" s="45">
        <f t="shared" si="19"/>
        <v>6.4400561600561606</v>
      </c>
      <c r="AN50" s="43"/>
      <c r="AP50" s="2" t="s">
        <v>206</v>
      </c>
      <c r="AQ50">
        <f>_xlfn.CHISQ.DIST.RT(AQ48,AQ47)</f>
        <v>0.3197244559749931</v>
      </c>
    </row>
    <row r="51" spans="1:44" ht="18" x14ac:dyDescent="0.35">
      <c r="A51">
        <v>5</v>
      </c>
      <c r="B51">
        <v>2</v>
      </c>
      <c r="C51">
        <v>1</v>
      </c>
      <c r="D51">
        <v>4</v>
      </c>
      <c r="E51">
        <v>1</v>
      </c>
      <c r="F51">
        <v>2</v>
      </c>
      <c r="G51">
        <v>4</v>
      </c>
      <c r="H51">
        <v>3</v>
      </c>
      <c r="I51">
        <v>3</v>
      </c>
      <c r="J51">
        <v>3</v>
      </c>
      <c r="K51">
        <v>3</v>
      </c>
      <c r="L51">
        <v>2</v>
      </c>
      <c r="P51" s="43">
        <f>SUM(P45:P50)</f>
        <v>4</v>
      </c>
      <c r="Q51" s="43">
        <f>SUM(Q45:Q50)</f>
        <v>28</v>
      </c>
      <c r="R51" s="43">
        <f>SUM(R45:R50)</f>
        <v>55</v>
      </c>
      <c r="S51" s="43">
        <f>SUM(S45:S50)</f>
        <v>37</v>
      </c>
      <c r="T51" s="43">
        <f>SUM(T45:T50)</f>
        <v>12</v>
      </c>
      <c r="U51" s="45">
        <f t="shared" si="15"/>
        <v>136</v>
      </c>
      <c r="V51" s="46"/>
      <c r="Y51" s="43">
        <f>SUM(Y45:Y50)</f>
        <v>3.9999999999999996</v>
      </c>
      <c r="Z51" s="43">
        <f>SUM(Z45:Z50)</f>
        <v>28</v>
      </c>
      <c r="AA51" s="43">
        <f>SUM(AA45:AA50)</f>
        <v>55.000000000000007</v>
      </c>
      <c r="AB51" s="43">
        <f>SUM(AB45:AB50)</f>
        <v>37</v>
      </c>
      <c r="AC51" s="43">
        <f>SUM(AC45:AC50)</f>
        <v>12</v>
      </c>
      <c r="AD51" s="48">
        <f t="shared" si="17"/>
        <v>136</v>
      </c>
      <c r="AE51" s="43"/>
      <c r="AH51" s="48">
        <f>SUM(AH45:AH50)</f>
        <v>3.9088023088023087</v>
      </c>
      <c r="AI51" s="48">
        <f>SUM(AI45:AI50)</f>
        <v>2.5339414553700261</v>
      </c>
      <c r="AJ51" s="48">
        <f>SUM(AJ45:AJ50)</f>
        <v>3.2745638200183649</v>
      </c>
      <c r="AK51" s="48">
        <f>SUM(AK45:AK50)</f>
        <v>2.4404508404508407</v>
      </c>
      <c r="AL51" s="48">
        <f>SUM(AL45:AL50)</f>
        <v>5.9137806637806642</v>
      </c>
      <c r="AM51" s="46">
        <f t="shared" si="19"/>
        <v>18.071539088422202</v>
      </c>
      <c r="AN51" s="43"/>
      <c r="AP51" t="s">
        <v>210</v>
      </c>
    </row>
    <row r="52" spans="1:44" ht="15.6" x14ac:dyDescent="0.3">
      <c r="A52">
        <v>3</v>
      </c>
      <c r="B52">
        <v>2</v>
      </c>
      <c r="C52">
        <v>1</v>
      </c>
      <c r="D52">
        <v>2</v>
      </c>
      <c r="E52">
        <v>2</v>
      </c>
      <c r="F52">
        <v>2</v>
      </c>
      <c r="G52">
        <v>3</v>
      </c>
      <c r="H52">
        <v>4</v>
      </c>
      <c r="I52">
        <v>5</v>
      </c>
      <c r="J52">
        <v>2</v>
      </c>
      <c r="K52">
        <v>5</v>
      </c>
      <c r="L52">
        <v>4</v>
      </c>
      <c r="AP52" s="2" t="s">
        <v>313</v>
      </c>
      <c r="AQ52" s="50">
        <f>SQRT(AQ48/($AQ$9*$AQ$10))</f>
        <v>0.1822628348604409</v>
      </c>
      <c r="AR52" t="s">
        <v>314</v>
      </c>
    </row>
    <row r="53" spans="1:44" x14ac:dyDescent="0.3">
      <c r="A53">
        <v>3</v>
      </c>
      <c r="B53">
        <v>2</v>
      </c>
      <c r="C53">
        <v>2</v>
      </c>
      <c r="D53">
        <v>2</v>
      </c>
      <c r="E53">
        <v>2</v>
      </c>
      <c r="F53">
        <v>2</v>
      </c>
      <c r="G53">
        <v>3</v>
      </c>
      <c r="H53">
        <v>3</v>
      </c>
      <c r="I53">
        <v>5</v>
      </c>
      <c r="J53">
        <v>3</v>
      </c>
      <c r="K53">
        <v>3</v>
      </c>
      <c r="L53">
        <v>3</v>
      </c>
    </row>
    <row r="54" spans="1:44" x14ac:dyDescent="0.3">
      <c r="A54">
        <v>5</v>
      </c>
      <c r="B54">
        <v>2</v>
      </c>
      <c r="C54">
        <v>1</v>
      </c>
      <c r="D54">
        <v>4</v>
      </c>
      <c r="E54">
        <v>1</v>
      </c>
      <c r="F54">
        <v>2</v>
      </c>
      <c r="G54">
        <v>4</v>
      </c>
      <c r="H54">
        <v>5</v>
      </c>
      <c r="I54">
        <v>4</v>
      </c>
      <c r="J54">
        <v>4</v>
      </c>
      <c r="K54">
        <v>4</v>
      </c>
      <c r="L54">
        <v>4</v>
      </c>
    </row>
    <row r="55" spans="1:44" x14ac:dyDescent="0.3">
      <c r="A55">
        <v>3</v>
      </c>
      <c r="B55">
        <v>2</v>
      </c>
      <c r="C55">
        <v>1</v>
      </c>
      <c r="D55">
        <v>2</v>
      </c>
      <c r="E55">
        <v>1</v>
      </c>
      <c r="F55">
        <v>2</v>
      </c>
      <c r="G55">
        <v>3</v>
      </c>
      <c r="H55">
        <v>5</v>
      </c>
      <c r="I55">
        <v>4</v>
      </c>
      <c r="J55">
        <v>3</v>
      </c>
      <c r="K55">
        <v>3</v>
      </c>
      <c r="L55">
        <v>4</v>
      </c>
    </row>
    <row r="56" spans="1:44" x14ac:dyDescent="0.3">
      <c r="A56">
        <v>5</v>
      </c>
      <c r="B56">
        <v>2</v>
      </c>
      <c r="C56">
        <v>2</v>
      </c>
      <c r="D56">
        <v>5</v>
      </c>
      <c r="E56">
        <v>4</v>
      </c>
      <c r="F56">
        <v>2</v>
      </c>
      <c r="G56">
        <v>3</v>
      </c>
      <c r="H56">
        <v>4</v>
      </c>
      <c r="I56">
        <v>4</v>
      </c>
      <c r="J56">
        <v>2</v>
      </c>
      <c r="K56">
        <v>3</v>
      </c>
      <c r="L56">
        <v>3</v>
      </c>
    </row>
    <row r="57" spans="1:44" x14ac:dyDescent="0.3">
      <c r="A57">
        <v>3</v>
      </c>
      <c r="B57">
        <v>2</v>
      </c>
      <c r="C57">
        <v>2</v>
      </c>
      <c r="D57">
        <v>1</v>
      </c>
      <c r="E57">
        <v>2</v>
      </c>
      <c r="F57">
        <v>3</v>
      </c>
      <c r="G57">
        <v>2</v>
      </c>
      <c r="H57">
        <v>3</v>
      </c>
      <c r="I57">
        <v>4</v>
      </c>
      <c r="J57">
        <v>2</v>
      </c>
      <c r="K57">
        <v>3</v>
      </c>
      <c r="L57">
        <v>3</v>
      </c>
      <c r="P57" s="106" t="s">
        <v>346</v>
      </c>
      <c r="Q57" s="106"/>
      <c r="R57" s="106"/>
      <c r="S57" s="106"/>
      <c r="T57" s="106"/>
      <c r="U57" s="106"/>
    </row>
    <row r="58" spans="1:44" ht="15.6" x14ac:dyDescent="0.3">
      <c r="A58">
        <v>2</v>
      </c>
      <c r="B58">
        <v>2</v>
      </c>
      <c r="C58">
        <v>2</v>
      </c>
      <c r="D58">
        <v>1</v>
      </c>
      <c r="E58">
        <v>2</v>
      </c>
      <c r="F58">
        <v>2</v>
      </c>
      <c r="G58">
        <v>4</v>
      </c>
      <c r="H58">
        <v>4</v>
      </c>
      <c r="I58">
        <v>5</v>
      </c>
      <c r="J58">
        <v>3</v>
      </c>
      <c r="K58">
        <v>5</v>
      </c>
      <c r="L58">
        <v>4</v>
      </c>
      <c r="O58" s="11" t="s">
        <v>142</v>
      </c>
      <c r="P58" s="10">
        <v>1</v>
      </c>
      <c r="Q58" s="10">
        <v>2</v>
      </c>
      <c r="R58" s="10">
        <v>3</v>
      </c>
      <c r="S58" s="10">
        <v>4</v>
      </c>
      <c r="T58" s="10">
        <v>5</v>
      </c>
      <c r="U58" s="10"/>
      <c r="V58" s="44"/>
      <c r="Y58" s="106" t="s">
        <v>351</v>
      </c>
      <c r="Z58" s="106"/>
      <c r="AA58" s="106"/>
      <c r="AB58" s="106"/>
      <c r="AC58" s="106"/>
      <c r="AD58" s="106"/>
      <c r="AG58" s="106" t="s">
        <v>356</v>
      </c>
      <c r="AH58" s="106"/>
      <c r="AI58" s="106"/>
      <c r="AJ58" s="106"/>
      <c r="AK58" s="106"/>
      <c r="AL58" s="106"/>
      <c r="AM58" s="106"/>
    </row>
    <row r="59" spans="1:44" ht="15.6" x14ac:dyDescent="0.3">
      <c r="A59">
        <v>2</v>
      </c>
      <c r="B59">
        <v>2</v>
      </c>
      <c r="C59">
        <v>1</v>
      </c>
      <c r="D59">
        <v>2</v>
      </c>
      <c r="E59">
        <v>1</v>
      </c>
      <c r="F59">
        <v>2</v>
      </c>
      <c r="G59">
        <v>3</v>
      </c>
      <c r="H59">
        <v>4</v>
      </c>
      <c r="I59">
        <v>5</v>
      </c>
      <c r="J59">
        <v>3</v>
      </c>
      <c r="K59">
        <v>5</v>
      </c>
      <c r="L59">
        <v>2</v>
      </c>
      <c r="O59" s="42">
        <v>1</v>
      </c>
      <c r="P59">
        <f>COUNTIFS($A$2:$A$137,"1",$K$2:$K$137,"1")</f>
        <v>0</v>
      </c>
      <c r="Q59">
        <f>COUNTIFS($A$2:$A$137,"1",$K$2:$K$137,"2")</f>
        <v>0</v>
      </c>
      <c r="R59">
        <f>COUNTIFS($A$2:$A$137,"1",$K$2:$K$137,"3")</f>
        <v>0</v>
      </c>
      <c r="S59">
        <f>COUNTIFS($A$2:$A$137,"1",$K$2:$K$137,"4")</f>
        <v>0</v>
      </c>
      <c r="T59">
        <f>COUNTIFS($A$2:$A$137,"1",$K$2:$K$137,"5")</f>
        <v>0</v>
      </c>
      <c r="U59" s="53">
        <f>SUM(P59:T59)</f>
        <v>0</v>
      </c>
      <c r="V59" s="43"/>
      <c r="X59" s="11" t="s">
        <v>142</v>
      </c>
      <c r="Y59" s="10">
        <v>1</v>
      </c>
      <c r="Z59" s="10">
        <v>2</v>
      </c>
      <c r="AA59" s="10">
        <v>3</v>
      </c>
      <c r="AB59" s="10">
        <v>4</v>
      </c>
      <c r="AC59" s="10">
        <v>5</v>
      </c>
      <c r="AD59" s="10"/>
      <c r="AE59" s="52"/>
      <c r="AG59" s="11" t="s">
        <v>142</v>
      </c>
      <c r="AH59" s="10">
        <v>1</v>
      </c>
      <c r="AI59" s="10">
        <v>2</v>
      </c>
      <c r="AJ59" s="10">
        <v>3</v>
      </c>
      <c r="AK59" s="10">
        <v>4</v>
      </c>
      <c r="AL59" s="10">
        <v>5</v>
      </c>
      <c r="AM59" s="10"/>
    </row>
    <row r="60" spans="1:44" ht="15.6" x14ac:dyDescent="0.3">
      <c r="A60">
        <v>3</v>
      </c>
      <c r="B60">
        <v>2</v>
      </c>
      <c r="C60">
        <v>2</v>
      </c>
      <c r="D60">
        <v>2</v>
      </c>
      <c r="E60">
        <v>2</v>
      </c>
      <c r="F60">
        <v>2</v>
      </c>
      <c r="G60">
        <v>3</v>
      </c>
      <c r="H60">
        <v>4</v>
      </c>
      <c r="I60">
        <v>4</v>
      </c>
      <c r="J60">
        <v>3</v>
      </c>
      <c r="K60">
        <v>3</v>
      </c>
      <c r="L60">
        <v>3</v>
      </c>
      <c r="O60" s="42">
        <v>2</v>
      </c>
      <c r="P60">
        <f>COUNTIFS($A$2:$A$137,"2",$K$2:$K$137,"1")</f>
        <v>0</v>
      </c>
      <c r="Q60">
        <f>COUNTIFS($A$2:$A$137,"2",$K$2:$K$137,"2")</f>
        <v>1</v>
      </c>
      <c r="R60">
        <f>COUNTIFS($A$2:$A$137,"2",$K$2:$K$137,"3")</f>
        <v>5</v>
      </c>
      <c r="S60">
        <f>COUNTIFS($A$2:$A$137,"2",$K$2:$K$137,"4")</f>
        <v>11</v>
      </c>
      <c r="T60">
        <f>COUNTIFS($A$2:$A$137,"2",$K$2:$K$137,"5")</f>
        <v>7</v>
      </c>
      <c r="U60" s="53">
        <f t="shared" ref="U60:U65" si="20">SUM(P60:T60)</f>
        <v>24</v>
      </c>
      <c r="V60" s="43"/>
      <c r="X60" s="42">
        <v>1</v>
      </c>
      <c r="Y60">
        <f t="shared" ref="Y60:AC65" si="21">$U59*P$65/$U$65</f>
        <v>0</v>
      </c>
      <c r="Z60">
        <f t="shared" si="21"/>
        <v>0</v>
      </c>
      <c r="AA60">
        <f t="shared" si="21"/>
        <v>0</v>
      </c>
      <c r="AB60">
        <f t="shared" si="21"/>
        <v>0</v>
      </c>
      <c r="AC60">
        <f t="shared" si="21"/>
        <v>0</v>
      </c>
      <c r="AD60" s="43">
        <f>SUM(Y60:AC60)</f>
        <v>0</v>
      </c>
      <c r="AE60" s="43"/>
      <c r="AG60" s="42">
        <v>1</v>
      </c>
      <c r="AH60" s="49">
        <v>0</v>
      </c>
      <c r="AI60" s="49">
        <v>0</v>
      </c>
      <c r="AJ60" s="49">
        <v>0</v>
      </c>
      <c r="AK60" s="49">
        <v>0</v>
      </c>
      <c r="AL60" s="49">
        <v>0</v>
      </c>
      <c r="AM60" s="45">
        <f>SUM(AH60:AL60)</f>
        <v>0</v>
      </c>
      <c r="AN60" s="44"/>
    </row>
    <row r="61" spans="1:44" ht="15.6" x14ac:dyDescent="0.3">
      <c r="A61">
        <v>4</v>
      </c>
      <c r="B61">
        <v>2</v>
      </c>
      <c r="C61">
        <v>1</v>
      </c>
      <c r="D61">
        <v>4</v>
      </c>
      <c r="E61">
        <v>1</v>
      </c>
      <c r="F61">
        <v>2</v>
      </c>
      <c r="G61">
        <v>4</v>
      </c>
      <c r="H61">
        <v>4</v>
      </c>
      <c r="I61">
        <v>5</v>
      </c>
      <c r="J61">
        <v>2</v>
      </c>
      <c r="K61">
        <v>4</v>
      </c>
      <c r="L61">
        <v>4</v>
      </c>
      <c r="O61" s="42">
        <v>3</v>
      </c>
      <c r="P61">
        <f>COUNTIFS($A$2:$A$137,"3",$K$2:$K$137,"1")</f>
        <v>0</v>
      </c>
      <c r="Q61">
        <f>COUNTIFS($A$2:$A$137,"3",$K$2:$K$137,"2")</f>
        <v>6</v>
      </c>
      <c r="R61">
        <f>COUNTIFS($A$2:$A$137,"3",$K$2:$K$137,"3")</f>
        <v>9</v>
      </c>
      <c r="S61">
        <f>COUNTIFS($A$2:$A$137,"3",$K$2:$K$137,"4")</f>
        <v>22</v>
      </c>
      <c r="T61">
        <f>COUNTIFS($A$2:$A$137,"3",$K$2:$K$137,"5")</f>
        <v>8</v>
      </c>
      <c r="U61" s="53">
        <f t="shared" si="20"/>
        <v>45</v>
      </c>
      <c r="V61" s="43"/>
      <c r="X61" s="42">
        <v>2</v>
      </c>
      <c r="Y61">
        <f t="shared" si="21"/>
        <v>0</v>
      </c>
      <c r="Z61">
        <f t="shared" si="21"/>
        <v>3</v>
      </c>
      <c r="AA61">
        <f t="shared" si="21"/>
        <v>4.9411764705882355</v>
      </c>
      <c r="AB61">
        <f t="shared" si="21"/>
        <v>11.117647058823529</v>
      </c>
      <c r="AC61">
        <f t="shared" si="21"/>
        <v>4.9411764705882355</v>
      </c>
      <c r="AD61" s="43">
        <f t="shared" ref="AD61:AD66" si="22">SUM(Y61:AC61)</f>
        <v>24</v>
      </c>
      <c r="AE61" s="43"/>
      <c r="AG61" s="42">
        <v>2</v>
      </c>
      <c r="AH61" s="49">
        <v>0</v>
      </c>
      <c r="AI61">
        <f t="shared" ref="AI61:AL65" si="23">(Q61-Z61)^2/Z61</f>
        <v>3</v>
      </c>
      <c r="AJ61">
        <f t="shared" si="23"/>
        <v>3.3340336134453774</v>
      </c>
      <c r="AK61">
        <f t="shared" si="23"/>
        <v>10.652038593215064</v>
      </c>
      <c r="AL61">
        <f t="shared" si="23"/>
        <v>1.8935574229691874</v>
      </c>
      <c r="AM61" s="45">
        <f t="shared" ref="AM61:AM66" si="24">SUM(AH61:AL61)</f>
        <v>18.87962962962963</v>
      </c>
      <c r="AN61" s="43"/>
      <c r="AP61" s="2" t="s">
        <v>204</v>
      </c>
      <c r="AQ61">
        <v>0.05</v>
      </c>
    </row>
    <row r="62" spans="1:44" ht="15.6" x14ac:dyDescent="0.3">
      <c r="A62">
        <v>5</v>
      </c>
      <c r="B62">
        <v>2</v>
      </c>
      <c r="C62">
        <v>1</v>
      </c>
      <c r="D62">
        <v>5</v>
      </c>
      <c r="E62">
        <v>1</v>
      </c>
      <c r="F62">
        <v>2</v>
      </c>
      <c r="G62">
        <v>5</v>
      </c>
      <c r="H62">
        <v>5</v>
      </c>
      <c r="I62">
        <v>4</v>
      </c>
      <c r="J62">
        <v>3</v>
      </c>
      <c r="K62">
        <v>4</v>
      </c>
      <c r="L62">
        <v>1</v>
      </c>
      <c r="O62" s="42">
        <v>4</v>
      </c>
      <c r="P62">
        <f>COUNTIFS($A$2:$A$137,"4",$K$2:$K$137,"1")</f>
        <v>0</v>
      </c>
      <c r="Q62">
        <f>COUNTIFS($A$2:$A$137,"4",$K$2:$K$137,"2")</f>
        <v>4</v>
      </c>
      <c r="R62">
        <f>COUNTIFS($A$2:$A$137,"4",$K$2:$K$137,"3")</f>
        <v>6</v>
      </c>
      <c r="S62">
        <f>COUNTIFS($A$2:$A$137,"4",$K$2:$K$137,"4")</f>
        <v>7</v>
      </c>
      <c r="T62">
        <f>COUNTIFS($A$2:$A$137,"4",$K$2:$K$137,"5")</f>
        <v>5</v>
      </c>
      <c r="U62" s="53">
        <f t="shared" si="20"/>
        <v>22</v>
      </c>
      <c r="V62" s="43"/>
      <c r="X62" s="42">
        <v>3</v>
      </c>
      <c r="Y62">
        <f t="shared" si="21"/>
        <v>0</v>
      </c>
      <c r="Z62">
        <f t="shared" si="21"/>
        <v>5.625</v>
      </c>
      <c r="AA62">
        <f t="shared" si="21"/>
        <v>9.264705882352942</v>
      </c>
      <c r="AB62">
        <f t="shared" si="21"/>
        <v>20.845588235294116</v>
      </c>
      <c r="AC62">
        <f t="shared" si="21"/>
        <v>9.264705882352942</v>
      </c>
      <c r="AD62" s="43">
        <f t="shared" si="22"/>
        <v>45</v>
      </c>
      <c r="AE62" s="43"/>
      <c r="AG62" s="42">
        <v>3</v>
      </c>
      <c r="AH62" s="49">
        <v>0</v>
      </c>
      <c r="AI62">
        <f t="shared" si="23"/>
        <v>0.46944444444444444</v>
      </c>
      <c r="AJ62">
        <f t="shared" si="23"/>
        <v>1.1504201680672272</v>
      </c>
      <c r="AK62">
        <f t="shared" si="23"/>
        <v>9.1962055192447334</v>
      </c>
      <c r="AL62">
        <f t="shared" si="23"/>
        <v>1.9631185807656404</v>
      </c>
      <c r="AM62" s="45">
        <f t="shared" si="24"/>
        <v>12.779188712522044</v>
      </c>
      <c r="AN62" s="43"/>
      <c r="AP62" s="2" t="s">
        <v>205</v>
      </c>
      <c r="AQ62">
        <f>4*4</f>
        <v>16</v>
      </c>
    </row>
    <row r="63" spans="1:44" ht="15.6" x14ac:dyDescent="0.3">
      <c r="A63">
        <v>2</v>
      </c>
      <c r="B63">
        <v>2</v>
      </c>
      <c r="C63">
        <v>1</v>
      </c>
      <c r="D63">
        <v>2</v>
      </c>
      <c r="E63">
        <v>1</v>
      </c>
      <c r="F63">
        <v>3</v>
      </c>
      <c r="G63">
        <v>2</v>
      </c>
      <c r="H63">
        <v>5</v>
      </c>
      <c r="I63">
        <v>3</v>
      </c>
      <c r="J63">
        <v>3</v>
      </c>
      <c r="K63">
        <v>4</v>
      </c>
      <c r="L63">
        <v>2</v>
      </c>
      <c r="O63" s="42">
        <v>5</v>
      </c>
      <c r="P63">
        <f>COUNTIFS($A$2:$A$137,"5",$K$2:$K$137,"1")</f>
        <v>0</v>
      </c>
      <c r="Q63">
        <f>COUNTIFS($A$2:$A$137,"5",$K$2:$K$137,"2")</f>
        <v>5</v>
      </c>
      <c r="R63">
        <f>COUNTIFS($A$2:$A$137,"5",$K$2:$K$137,"3")</f>
        <v>8</v>
      </c>
      <c r="S63">
        <f>COUNTIFS($A$2:$A$137,"5",$K$2:$K$137,"4")</f>
        <v>17</v>
      </c>
      <c r="T63">
        <f>COUNTIFS($A$2:$A$137,"5",$K$2:$K$137,"5")</f>
        <v>5</v>
      </c>
      <c r="U63" s="53">
        <f t="shared" si="20"/>
        <v>35</v>
      </c>
      <c r="V63" s="43"/>
      <c r="X63" s="42">
        <v>4</v>
      </c>
      <c r="Y63">
        <f t="shared" si="21"/>
        <v>0</v>
      </c>
      <c r="Z63">
        <f t="shared" si="21"/>
        <v>2.75</v>
      </c>
      <c r="AA63">
        <f t="shared" si="21"/>
        <v>4.5294117647058822</v>
      </c>
      <c r="AB63">
        <f t="shared" si="21"/>
        <v>10.191176470588236</v>
      </c>
      <c r="AC63">
        <f t="shared" si="21"/>
        <v>4.5294117647058822</v>
      </c>
      <c r="AD63" s="43">
        <f t="shared" si="22"/>
        <v>22</v>
      </c>
      <c r="AE63" s="43"/>
      <c r="AG63" s="42">
        <v>4</v>
      </c>
      <c r="AH63" s="49">
        <v>0</v>
      </c>
      <c r="AI63">
        <f t="shared" si="23"/>
        <v>1.8409090909090908</v>
      </c>
      <c r="AJ63">
        <f t="shared" si="23"/>
        <v>2.6592818945760124</v>
      </c>
      <c r="AK63">
        <f t="shared" si="23"/>
        <v>4.5490408284525925</v>
      </c>
      <c r="AL63">
        <f t="shared" si="23"/>
        <v>4.8892284186401853E-2</v>
      </c>
      <c r="AM63" s="45">
        <f t="shared" si="24"/>
        <v>9.0981240981240958</v>
      </c>
      <c r="AN63" s="43"/>
      <c r="AP63" s="2" t="s">
        <v>202</v>
      </c>
      <c r="AQ63" s="10">
        <f>SUM(AH60:AL65)</f>
        <v>1647.0549016239493</v>
      </c>
    </row>
    <row r="64" spans="1:44" ht="15.6" x14ac:dyDescent="0.3">
      <c r="A64">
        <v>5</v>
      </c>
      <c r="B64">
        <v>2</v>
      </c>
      <c r="C64">
        <v>3</v>
      </c>
      <c r="D64">
        <v>4</v>
      </c>
      <c r="E64">
        <v>3</v>
      </c>
      <c r="F64">
        <v>2</v>
      </c>
      <c r="G64">
        <v>4</v>
      </c>
      <c r="H64">
        <v>4</v>
      </c>
      <c r="I64">
        <v>5</v>
      </c>
      <c r="J64">
        <v>4</v>
      </c>
      <c r="K64">
        <v>4</v>
      </c>
      <c r="L64">
        <v>5</v>
      </c>
      <c r="O64" s="42">
        <v>6</v>
      </c>
      <c r="P64">
        <f>COUNTIFS($A$2:$A$137,"6",$K$2:$K$137,"1")</f>
        <v>0</v>
      </c>
      <c r="Q64">
        <f>COUNTIFS($A$2:$A$137,"6",$K$2:$K$137,"2")</f>
        <v>1</v>
      </c>
      <c r="R64">
        <f>COUNTIFS($A$2:$A$137,"6",$K$2:$K$137,"3")</f>
        <v>0</v>
      </c>
      <c r="S64">
        <f>COUNTIFS($A$2:$A$137,"6",$K$2:$K$137,"4")</f>
        <v>6</v>
      </c>
      <c r="T64">
        <f>COUNTIFS($A$2:$A$137,"6",$K$2:$K$137,"5")</f>
        <v>3</v>
      </c>
      <c r="U64" s="53">
        <f t="shared" si="20"/>
        <v>10</v>
      </c>
      <c r="V64" s="43"/>
      <c r="X64" s="42">
        <v>5</v>
      </c>
      <c r="Y64">
        <f t="shared" si="21"/>
        <v>0</v>
      </c>
      <c r="Z64">
        <f t="shared" si="21"/>
        <v>4.375</v>
      </c>
      <c r="AA64">
        <f t="shared" si="21"/>
        <v>7.2058823529411766</v>
      </c>
      <c r="AB64">
        <f t="shared" si="21"/>
        <v>16.213235294117649</v>
      </c>
      <c r="AC64">
        <f t="shared" si="21"/>
        <v>7.2058823529411766</v>
      </c>
      <c r="AD64" s="43">
        <f t="shared" si="22"/>
        <v>35</v>
      </c>
      <c r="AE64" s="43"/>
      <c r="AG64" s="42">
        <v>5</v>
      </c>
      <c r="AH64" s="49">
        <v>0</v>
      </c>
      <c r="AI64">
        <f t="shared" si="23"/>
        <v>2.6035714285714286</v>
      </c>
      <c r="AJ64">
        <f t="shared" si="23"/>
        <v>7.2058823529411766</v>
      </c>
      <c r="AK64">
        <f t="shared" si="23"/>
        <v>6.4336434573829546</v>
      </c>
      <c r="AL64">
        <f t="shared" si="23"/>
        <v>2.4548619447779112</v>
      </c>
      <c r="AM64" s="45">
        <f t="shared" si="24"/>
        <v>18.697959183673468</v>
      </c>
      <c r="AN64" s="43"/>
      <c r="AP64" s="2" t="s">
        <v>203</v>
      </c>
      <c r="AQ64" s="50">
        <v>26.3</v>
      </c>
    </row>
    <row r="65" spans="1:43" ht="18" x14ac:dyDescent="0.35">
      <c r="A65">
        <v>2</v>
      </c>
      <c r="B65">
        <v>2</v>
      </c>
      <c r="C65">
        <v>2</v>
      </c>
      <c r="D65">
        <v>1</v>
      </c>
      <c r="E65">
        <v>2</v>
      </c>
      <c r="F65">
        <v>2</v>
      </c>
      <c r="G65">
        <v>4</v>
      </c>
      <c r="H65">
        <v>5</v>
      </c>
      <c r="I65">
        <v>5</v>
      </c>
      <c r="J65">
        <v>3</v>
      </c>
      <c r="K65">
        <v>5</v>
      </c>
      <c r="L65">
        <v>4</v>
      </c>
      <c r="P65" s="43">
        <f>SUM(P59:P64)</f>
        <v>0</v>
      </c>
      <c r="Q65" s="43">
        <f>SUM(Q59:Q64)</f>
        <v>17</v>
      </c>
      <c r="R65" s="43">
        <f>SUM(R59:R64)</f>
        <v>28</v>
      </c>
      <c r="S65" s="43">
        <f>SUM(S59:S64)</f>
        <v>63</v>
      </c>
      <c r="T65" s="43">
        <f>SUM(T59:T64)</f>
        <v>28</v>
      </c>
      <c r="U65" s="48">
        <f t="shared" si="20"/>
        <v>136</v>
      </c>
      <c r="V65" s="46"/>
      <c r="X65" s="42">
        <v>6</v>
      </c>
      <c r="Y65">
        <f t="shared" si="21"/>
        <v>0</v>
      </c>
      <c r="Z65">
        <f t="shared" si="21"/>
        <v>1.25</v>
      </c>
      <c r="AA65">
        <f t="shared" si="21"/>
        <v>2.0588235294117645</v>
      </c>
      <c r="AB65">
        <f t="shared" si="21"/>
        <v>4.632352941176471</v>
      </c>
      <c r="AC65">
        <f t="shared" si="21"/>
        <v>2.0588235294117645</v>
      </c>
      <c r="AD65" s="43">
        <f t="shared" si="22"/>
        <v>10</v>
      </c>
      <c r="AE65" s="43"/>
      <c r="AG65" s="42">
        <v>6</v>
      </c>
      <c r="AH65" s="49">
        <v>0</v>
      </c>
      <c r="AI65">
        <f t="shared" si="23"/>
        <v>198.45</v>
      </c>
      <c r="AJ65">
        <f t="shared" si="23"/>
        <v>326.85882352941178</v>
      </c>
      <c r="AK65">
        <f t="shared" si="23"/>
        <v>735.43235294117642</v>
      </c>
      <c r="AL65">
        <f t="shared" si="23"/>
        <v>326.85882352941178</v>
      </c>
      <c r="AM65" s="45">
        <f t="shared" si="24"/>
        <v>1587.6</v>
      </c>
      <c r="AN65" s="43"/>
      <c r="AP65" s="2" t="s">
        <v>206</v>
      </c>
      <c r="AQ65">
        <f>_xlfn.CHISQ.DIST.RT(AQ63,AQ62)</f>
        <v>0</v>
      </c>
    </row>
    <row r="66" spans="1:43" ht="18" x14ac:dyDescent="0.35">
      <c r="A66">
        <v>2</v>
      </c>
      <c r="B66">
        <v>2</v>
      </c>
      <c r="C66">
        <v>2</v>
      </c>
      <c r="D66">
        <v>1</v>
      </c>
      <c r="E66">
        <v>2</v>
      </c>
      <c r="F66">
        <v>2</v>
      </c>
      <c r="G66">
        <v>4</v>
      </c>
      <c r="H66">
        <v>5</v>
      </c>
      <c r="I66">
        <v>5</v>
      </c>
      <c r="J66">
        <v>3</v>
      </c>
      <c r="K66">
        <v>5</v>
      </c>
      <c r="L66">
        <v>3</v>
      </c>
      <c r="Y66" s="43">
        <f>SUM(Y60:Y65)</f>
        <v>0</v>
      </c>
      <c r="Z66" s="43">
        <f>SUM(Z60:Z65)</f>
        <v>17</v>
      </c>
      <c r="AA66" s="43">
        <f>SUM(AA60:AA65)</f>
        <v>28</v>
      </c>
      <c r="AB66" s="43">
        <f>SUM(AB60:AB65)</f>
        <v>63.000000000000007</v>
      </c>
      <c r="AC66" s="43">
        <f>SUM(AC60:AC65)</f>
        <v>28</v>
      </c>
      <c r="AD66" s="48">
        <f t="shared" si="22"/>
        <v>136</v>
      </c>
      <c r="AE66" s="43"/>
      <c r="AH66" s="48">
        <f>SUM(AH60:AH65)</f>
        <v>0</v>
      </c>
      <c r="AI66" s="48">
        <f>SUM(AI60:AI65)</f>
        <v>206.36392496392494</v>
      </c>
      <c r="AJ66" s="48">
        <f>SUM(AJ60:AJ65)</f>
        <v>341.20844155844156</v>
      </c>
      <c r="AK66" s="48">
        <f>SUM(AK60:AK65)</f>
        <v>766.26328133947175</v>
      </c>
      <c r="AL66" s="48">
        <f>SUM(AL60:AL65)</f>
        <v>333.2192537621109</v>
      </c>
      <c r="AM66" s="46">
        <f t="shared" si="24"/>
        <v>1647.0549016239493</v>
      </c>
      <c r="AN66" s="43"/>
      <c r="AP66" t="s">
        <v>215</v>
      </c>
    </row>
    <row r="67" spans="1:43" ht="15.6" x14ac:dyDescent="0.3">
      <c r="A67">
        <v>3</v>
      </c>
      <c r="B67">
        <v>2</v>
      </c>
      <c r="C67">
        <v>2</v>
      </c>
      <c r="D67">
        <v>2</v>
      </c>
      <c r="E67">
        <v>2</v>
      </c>
      <c r="F67">
        <v>2</v>
      </c>
      <c r="G67">
        <v>4</v>
      </c>
      <c r="H67">
        <v>5</v>
      </c>
      <c r="I67">
        <v>3</v>
      </c>
      <c r="J67">
        <v>2</v>
      </c>
      <c r="K67">
        <v>4</v>
      </c>
      <c r="L67">
        <v>3</v>
      </c>
      <c r="AP67" s="2" t="s">
        <v>313</v>
      </c>
      <c r="AQ67" s="50">
        <f>SQRT(AQ63/($AQ$9*$AQ$10))</f>
        <v>1.7400213939818707</v>
      </c>
    </row>
    <row r="68" spans="1:43" x14ac:dyDescent="0.3">
      <c r="A68">
        <v>4</v>
      </c>
      <c r="B68">
        <v>2</v>
      </c>
      <c r="C68">
        <v>2</v>
      </c>
      <c r="D68">
        <v>4</v>
      </c>
      <c r="E68">
        <v>2</v>
      </c>
      <c r="F68">
        <v>2</v>
      </c>
      <c r="G68">
        <v>4</v>
      </c>
      <c r="H68">
        <v>5</v>
      </c>
      <c r="I68">
        <v>4</v>
      </c>
      <c r="J68">
        <v>3</v>
      </c>
      <c r="K68">
        <v>4</v>
      </c>
      <c r="L68">
        <v>5</v>
      </c>
    </row>
    <row r="69" spans="1:43" x14ac:dyDescent="0.3">
      <c r="A69">
        <v>4</v>
      </c>
      <c r="B69">
        <v>2</v>
      </c>
      <c r="C69">
        <v>2</v>
      </c>
      <c r="D69">
        <v>1</v>
      </c>
      <c r="E69">
        <v>3</v>
      </c>
      <c r="F69">
        <v>2</v>
      </c>
      <c r="G69">
        <v>4</v>
      </c>
      <c r="H69">
        <v>4</v>
      </c>
      <c r="I69">
        <v>3</v>
      </c>
      <c r="J69">
        <v>4</v>
      </c>
      <c r="K69">
        <v>3</v>
      </c>
      <c r="L69">
        <v>2</v>
      </c>
    </row>
    <row r="70" spans="1:43" x14ac:dyDescent="0.3">
      <c r="A70">
        <v>2</v>
      </c>
      <c r="B70">
        <v>2</v>
      </c>
      <c r="C70">
        <v>2</v>
      </c>
      <c r="D70">
        <v>1</v>
      </c>
      <c r="E70">
        <v>2</v>
      </c>
      <c r="F70">
        <v>3</v>
      </c>
      <c r="G70">
        <v>5</v>
      </c>
      <c r="H70">
        <v>5</v>
      </c>
      <c r="I70">
        <v>4</v>
      </c>
      <c r="J70">
        <v>3</v>
      </c>
      <c r="K70">
        <v>5</v>
      </c>
      <c r="L70">
        <v>4</v>
      </c>
    </row>
    <row r="71" spans="1:43" x14ac:dyDescent="0.3">
      <c r="A71">
        <v>5</v>
      </c>
      <c r="B71">
        <v>2</v>
      </c>
      <c r="C71">
        <v>1</v>
      </c>
      <c r="D71">
        <v>5</v>
      </c>
      <c r="E71">
        <v>1</v>
      </c>
      <c r="F71">
        <v>2</v>
      </c>
      <c r="G71">
        <v>4</v>
      </c>
      <c r="H71">
        <v>5</v>
      </c>
      <c r="I71">
        <v>5</v>
      </c>
      <c r="J71">
        <v>4</v>
      </c>
      <c r="K71">
        <v>4</v>
      </c>
      <c r="L71">
        <v>4</v>
      </c>
      <c r="P71" s="106" t="s">
        <v>347</v>
      </c>
      <c r="Q71" s="106"/>
      <c r="R71" s="106"/>
      <c r="S71" s="106"/>
      <c r="T71" s="106"/>
      <c r="U71" s="106"/>
    </row>
    <row r="72" spans="1:43" ht="15.6" x14ac:dyDescent="0.3">
      <c r="A72">
        <v>3</v>
      </c>
      <c r="B72">
        <v>2</v>
      </c>
      <c r="C72">
        <v>2</v>
      </c>
      <c r="D72">
        <v>2</v>
      </c>
      <c r="E72">
        <v>2</v>
      </c>
      <c r="F72">
        <v>2</v>
      </c>
      <c r="G72">
        <v>4</v>
      </c>
      <c r="H72">
        <v>4</v>
      </c>
      <c r="I72">
        <v>4</v>
      </c>
      <c r="J72">
        <v>3</v>
      </c>
      <c r="K72">
        <v>4</v>
      </c>
      <c r="L72">
        <v>3</v>
      </c>
      <c r="O72" s="11" t="s">
        <v>142</v>
      </c>
      <c r="P72" s="10">
        <v>1</v>
      </c>
      <c r="Q72" s="10">
        <v>2</v>
      </c>
      <c r="R72" s="10">
        <v>3</v>
      </c>
      <c r="S72" s="10">
        <v>4</v>
      </c>
      <c r="T72" s="10">
        <v>5</v>
      </c>
      <c r="U72" s="10"/>
      <c r="V72" s="44"/>
      <c r="Y72" s="106" t="s">
        <v>352</v>
      </c>
      <c r="Z72" s="106"/>
      <c r="AA72" s="106"/>
      <c r="AB72" s="106"/>
      <c r="AC72" s="106"/>
      <c r="AD72" s="106"/>
      <c r="AG72" s="106" t="s">
        <v>357</v>
      </c>
      <c r="AH72" s="106"/>
      <c r="AI72" s="106"/>
      <c r="AJ72" s="106"/>
      <c r="AK72" s="106"/>
      <c r="AL72" s="106"/>
      <c r="AM72" s="106"/>
    </row>
    <row r="73" spans="1:43" ht="15.6" x14ac:dyDescent="0.3">
      <c r="A73">
        <v>5</v>
      </c>
      <c r="B73">
        <v>1</v>
      </c>
      <c r="C73">
        <v>2</v>
      </c>
      <c r="D73">
        <v>3</v>
      </c>
      <c r="E73">
        <v>2</v>
      </c>
      <c r="F73">
        <v>2</v>
      </c>
      <c r="G73">
        <v>4</v>
      </c>
      <c r="H73">
        <v>4</v>
      </c>
      <c r="I73">
        <v>4</v>
      </c>
      <c r="J73">
        <v>3</v>
      </c>
      <c r="K73">
        <v>2</v>
      </c>
      <c r="L73">
        <v>4</v>
      </c>
      <c r="O73" s="42">
        <v>1</v>
      </c>
      <c r="P73">
        <f>COUNTIFS($A$2:$A$137,"1",$L$2:$L$137,"1")</f>
        <v>0</v>
      </c>
      <c r="Q73">
        <f>COUNTIFS($A$2:$A$137,"1",$L$2:$L$137,"2")</f>
        <v>0</v>
      </c>
      <c r="R73">
        <f>COUNTIFS($A$2:$A$137,"1",$L$2:$L$137,"3")</f>
        <v>0</v>
      </c>
      <c r="S73">
        <f>COUNTIFS($A$2:$A$137,"1",$L$2:$L$137,"4")</f>
        <v>0</v>
      </c>
      <c r="T73">
        <f>COUNTIFS($A$2:$A$137,"1",$L$2:$L$137,"=5")</f>
        <v>0</v>
      </c>
      <c r="U73" s="43">
        <f>SUM(P73:T73)</f>
        <v>0</v>
      </c>
      <c r="V73" s="43"/>
      <c r="X73" s="11" t="s">
        <v>142</v>
      </c>
      <c r="Y73" s="10">
        <v>1</v>
      </c>
      <c r="Z73" s="10">
        <v>2</v>
      </c>
      <c r="AA73" s="10">
        <v>3</v>
      </c>
      <c r="AB73" s="10">
        <v>4</v>
      </c>
      <c r="AC73" s="10">
        <v>5</v>
      </c>
      <c r="AD73" s="10"/>
      <c r="AE73" s="52"/>
      <c r="AG73" s="11" t="s">
        <v>142</v>
      </c>
      <c r="AH73" s="10">
        <v>1</v>
      </c>
      <c r="AI73" s="10">
        <v>2</v>
      </c>
      <c r="AJ73" s="10">
        <v>3</v>
      </c>
      <c r="AK73" s="10">
        <v>4</v>
      </c>
      <c r="AL73" s="10">
        <v>5</v>
      </c>
      <c r="AM73" s="10"/>
    </row>
    <row r="74" spans="1:43" ht="15.6" x14ac:dyDescent="0.3">
      <c r="A74">
        <v>2</v>
      </c>
      <c r="B74">
        <v>2</v>
      </c>
      <c r="C74">
        <v>2</v>
      </c>
      <c r="D74">
        <v>1</v>
      </c>
      <c r="E74">
        <v>2</v>
      </c>
      <c r="F74">
        <v>2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O74" s="42">
        <v>2</v>
      </c>
      <c r="P74">
        <f>COUNTIFS($A$2:$A$137,"2",$L$2:$L$137,"1")</f>
        <v>0</v>
      </c>
      <c r="Q74" s="3">
        <f>COUNTIFS($A$2:$A$137,"2",$L$2:$L$137,"2")</f>
        <v>5</v>
      </c>
      <c r="R74">
        <f>COUNTIFS($A$2:$A$137,"2",$L$2:$L$137,"3")</f>
        <v>6</v>
      </c>
      <c r="S74">
        <f>COUNTIFS($A$2:$A$137,"2",$L$2:$L$137,"4")</f>
        <v>10</v>
      </c>
      <c r="T74">
        <f>COUNTIFS($A$2:$A$137,"2",$L$2:$L$137,"5")</f>
        <v>3</v>
      </c>
      <c r="U74" s="43">
        <f t="shared" ref="U74:U79" si="25">SUM(P74:T74)</f>
        <v>24</v>
      </c>
      <c r="V74" s="43"/>
      <c r="X74" s="42">
        <v>1</v>
      </c>
      <c r="Y74">
        <f t="shared" ref="Y74:AC74" si="26">$U73*P$79/$U$79</f>
        <v>0</v>
      </c>
      <c r="Z74">
        <f t="shared" si="26"/>
        <v>0</v>
      </c>
      <c r="AA74">
        <f t="shared" si="26"/>
        <v>0</v>
      </c>
      <c r="AB74">
        <f t="shared" si="26"/>
        <v>0</v>
      </c>
      <c r="AC74">
        <f t="shared" si="26"/>
        <v>0</v>
      </c>
      <c r="AD74" s="43">
        <f t="shared" ref="AD74:AD80" si="27">SUM(Y74:AC74)</f>
        <v>0</v>
      </c>
      <c r="AE74" s="43"/>
      <c r="AG74" s="42">
        <v>1</v>
      </c>
      <c r="AH74" s="49">
        <v>0</v>
      </c>
      <c r="AI74" s="49">
        <v>0</v>
      </c>
      <c r="AJ74" s="49">
        <v>0</v>
      </c>
      <c r="AK74" s="49">
        <v>0</v>
      </c>
      <c r="AL74" s="49">
        <v>0</v>
      </c>
      <c r="AM74" s="45">
        <f>SUM(AH74:AL74)</f>
        <v>0</v>
      </c>
      <c r="AN74" s="44"/>
    </row>
    <row r="75" spans="1:43" ht="15.6" x14ac:dyDescent="0.3">
      <c r="A75">
        <v>2</v>
      </c>
      <c r="B75">
        <v>2</v>
      </c>
      <c r="C75">
        <v>2</v>
      </c>
      <c r="D75">
        <v>1</v>
      </c>
      <c r="E75">
        <v>2</v>
      </c>
      <c r="F75">
        <v>2</v>
      </c>
      <c r="G75">
        <v>4</v>
      </c>
      <c r="H75">
        <v>4</v>
      </c>
      <c r="I75">
        <v>4</v>
      </c>
      <c r="J75">
        <v>3</v>
      </c>
      <c r="K75">
        <v>4</v>
      </c>
      <c r="L75">
        <v>2</v>
      </c>
      <c r="O75" s="42">
        <v>3</v>
      </c>
      <c r="P75">
        <f>COUNTIFS($A$2:$A$137,"3",$L$2:$L$137,"1")</f>
        <v>2</v>
      </c>
      <c r="Q75">
        <f>COUNTIFS($A$2:$A$137,"3",$L$2:$L$137,"2")</f>
        <v>10</v>
      </c>
      <c r="R75">
        <f>COUNTIFS($A$2:$A$137,"3",$L$2:$L$137,"3")</f>
        <v>16</v>
      </c>
      <c r="S75">
        <f>COUNTIFS($A$2:$A$137,"3",$L$2:$L$137,"4")</f>
        <v>9</v>
      </c>
      <c r="T75">
        <f>COUNTIFS($A$2:$A$137,"3",$L$2:$L$137,"5")</f>
        <v>8</v>
      </c>
      <c r="U75" s="43">
        <f t="shared" si="25"/>
        <v>45</v>
      </c>
      <c r="V75" s="43"/>
      <c r="X75" s="42">
        <v>2</v>
      </c>
      <c r="Y75">
        <f t="shared" ref="Y75:AC79" si="28">$U74*P$79/$U$79</f>
        <v>0.88235294117647056</v>
      </c>
      <c r="Z75">
        <f t="shared" si="28"/>
        <v>5.117647058823529</v>
      </c>
      <c r="AA75">
        <f t="shared" si="28"/>
        <v>7.5882352941176467</v>
      </c>
      <c r="AB75">
        <f t="shared" si="28"/>
        <v>7.0588235294117645</v>
      </c>
      <c r="AC75">
        <f t="shared" si="28"/>
        <v>3.3529411764705883</v>
      </c>
      <c r="AD75" s="43">
        <f t="shared" si="27"/>
        <v>24</v>
      </c>
      <c r="AE75" s="43"/>
      <c r="AG75" s="42">
        <v>2</v>
      </c>
      <c r="AH75">
        <f t="shared" ref="AH75:AL79" si="29">(P75-Y75)^2/Y75</f>
        <v>1.415686274509804</v>
      </c>
      <c r="AI75">
        <f t="shared" si="29"/>
        <v>4.6578769438810017</v>
      </c>
      <c r="AJ75">
        <f t="shared" si="29"/>
        <v>9.3246694026447798</v>
      </c>
      <c r="AK75">
        <f t="shared" si="29"/>
        <v>0.53382352941176481</v>
      </c>
      <c r="AL75">
        <f t="shared" si="29"/>
        <v>6.4406604747162008</v>
      </c>
      <c r="AM75" s="45">
        <f t="shared" ref="AM75:AM80" si="30">SUM(AH75:AL75)</f>
        <v>22.372716625163552</v>
      </c>
      <c r="AN75" s="43"/>
      <c r="AP75" s="2" t="s">
        <v>204</v>
      </c>
      <c r="AQ75">
        <v>0.05</v>
      </c>
    </row>
    <row r="76" spans="1:43" ht="15.6" x14ac:dyDescent="0.3">
      <c r="A76">
        <v>2</v>
      </c>
      <c r="B76">
        <v>2</v>
      </c>
      <c r="C76">
        <v>2</v>
      </c>
      <c r="D76">
        <v>1</v>
      </c>
      <c r="E76">
        <v>2</v>
      </c>
      <c r="F76">
        <v>2</v>
      </c>
      <c r="G76">
        <v>3</v>
      </c>
      <c r="H76">
        <v>5</v>
      </c>
      <c r="I76">
        <v>4</v>
      </c>
      <c r="J76">
        <v>4</v>
      </c>
      <c r="K76">
        <v>4</v>
      </c>
      <c r="L76">
        <v>3</v>
      </c>
      <c r="O76" s="42">
        <v>4</v>
      </c>
      <c r="P76">
        <f>COUNTIFS($A$2:$A$137,"4",$L$2:$L$137,"1")</f>
        <v>0</v>
      </c>
      <c r="Q76">
        <f>COUNTIFS($A$2:$A$137,"4",$L$2:$L$137,"2")</f>
        <v>6</v>
      </c>
      <c r="R76">
        <f>COUNTIFS($A$2:$A$137,"4",$L$2:$L$137,"3")</f>
        <v>8</v>
      </c>
      <c r="S76">
        <f>COUNTIFS($A$2:$A$137,"4",$L$2:$L$137,"4")</f>
        <v>6</v>
      </c>
      <c r="T76">
        <f>COUNTIFS($A$2:$A$137,"4",$L$2:$L$137,"=5")</f>
        <v>2</v>
      </c>
      <c r="U76" s="43">
        <f t="shared" si="25"/>
        <v>22</v>
      </c>
      <c r="V76" s="43"/>
      <c r="X76" s="42">
        <v>3</v>
      </c>
      <c r="Y76">
        <f t="shared" si="28"/>
        <v>1.6544117647058822</v>
      </c>
      <c r="Z76">
        <f t="shared" si="28"/>
        <v>9.5955882352941178</v>
      </c>
      <c r="AA76">
        <f t="shared" si="28"/>
        <v>14.227941176470589</v>
      </c>
      <c r="AB76">
        <f t="shared" si="28"/>
        <v>13.235294117647058</v>
      </c>
      <c r="AC76">
        <f t="shared" si="28"/>
        <v>6.2867647058823533</v>
      </c>
      <c r="AD76" s="43">
        <f t="shared" si="27"/>
        <v>45</v>
      </c>
      <c r="AE76" s="43"/>
      <c r="AG76" s="42">
        <v>3</v>
      </c>
      <c r="AH76">
        <f t="shared" si="29"/>
        <v>1.6544117647058825</v>
      </c>
      <c r="AI76">
        <f t="shared" si="29"/>
        <v>1.3473123732251522</v>
      </c>
      <c r="AJ76">
        <f t="shared" si="29"/>
        <v>2.7261323909408728</v>
      </c>
      <c r="AK76">
        <f t="shared" si="29"/>
        <v>3.9552941176470582</v>
      </c>
      <c r="AL76">
        <f t="shared" si="29"/>
        <v>2.9230220158238733</v>
      </c>
      <c r="AM76" s="45">
        <f t="shared" si="30"/>
        <v>12.606172662342839</v>
      </c>
      <c r="AN76" s="43"/>
      <c r="AP76" s="2" t="s">
        <v>205</v>
      </c>
      <c r="AQ76">
        <f>4*4</f>
        <v>16</v>
      </c>
    </row>
    <row r="77" spans="1:43" ht="15.6" x14ac:dyDescent="0.3">
      <c r="A77">
        <v>2</v>
      </c>
      <c r="B77">
        <v>2</v>
      </c>
      <c r="C77">
        <v>2</v>
      </c>
      <c r="D77">
        <v>1</v>
      </c>
      <c r="E77">
        <v>2</v>
      </c>
      <c r="F77">
        <v>2</v>
      </c>
      <c r="G77">
        <v>4</v>
      </c>
      <c r="H77">
        <v>4</v>
      </c>
      <c r="I77">
        <v>4</v>
      </c>
      <c r="J77">
        <v>4</v>
      </c>
      <c r="K77">
        <v>4</v>
      </c>
      <c r="L77">
        <v>3</v>
      </c>
      <c r="O77" s="42">
        <v>5</v>
      </c>
      <c r="P77">
        <f>COUNTIFS($A$2:$A$137,"5",$L$2:$L$137,"1")</f>
        <v>3</v>
      </c>
      <c r="Q77">
        <f>COUNTIFS($A$2:$A$137,"5",$L$2:$L$137,"2")</f>
        <v>7</v>
      </c>
      <c r="R77">
        <f>COUNTIFS($A$2:$A$137,"5",$L$2:$L$137,"3")</f>
        <v>10</v>
      </c>
      <c r="S77">
        <f>COUNTIFS($A$2:$A$137,"5",$L$2:$L$137,"4")</f>
        <v>11</v>
      </c>
      <c r="T77">
        <f>COUNTIFS($A$2:$A$137,"5",$L$2:$L$137,"5")</f>
        <v>4</v>
      </c>
      <c r="U77" s="43">
        <f t="shared" si="25"/>
        <v>35</v>
      </c>
      <c r="V77" s="43"/>
      <c r="X77" s="42">
        <v>4</v>
      </c>
      <c r="Y77">
        <f t="shared" si="28"/>
        <v>0.80882352941176472</v>
      </c>
      <c r="Z77">
        <f t="shared" si="28"/>
        <v>4.6911764705882355</v>
      </c>
      <c r="AA77">
        <f t="shared" si="28"/>
        <v>6.9558823529411766</v>
      </c>
      <c r="AB77">
        <f t="shared" si="28"/>
        <v>6.4705882352941178</v>
      </c>
      <c r="AC77">
        <f t="shared" si="28"/>
        <v>3.0735294117647061</v>
      </c>
      <c r="AD77" s="43">
        <f t="shared" si="27"/>
        <v>22.000000000000004</v>
      </c>
      <c r="AE77" s="43"/>
      <c r="AG77" s="42">
        <v>4</v>
      </c>
      <c r="AH77">
        <f t="shared" si="29"/>
        <v>5.9360962566844933</v>
      </c>
      <c r="AI77">
        <f t="shared" si="29"/>
        <v>1.1363175364189559</v>
      </c>
      <c r="AJ77">
        <f t="shared" si="29"/>
        <v>1.3322037060067156</v>
      </c>
      <c r="AK77">
        <f t="shared" si="29"/>
        <v>3.1705882352941175</v>
      </c>
      <c r="AL77">
        <f t="shared" si="29"/>
        <v>0.27927103855896412</v>
      </c>
      <c r="AM77" s="45">
        <f t="shared" si="30"/>
        <v>11.854476772963245</v>
      </c>
      <c r="AN77" s="43"/>
      <c r="AP77" s="2" t="s">
        <v>202</v>
      </c>
      <c r="AQ77" s="10">
        <f>SUM(AH74:AL79)</f>
        <v>1652.7529760718653</v>
      </c>
    </row>
    <row r="78" spans="1:43" ht="15.6" x14ac:dyDescent="0.3">
      <c r="A78">
        <v>2</v>
      </c>
      <c r="B78">
        <v>2</v>
      </c>
      <c r="C78">
        <v>2</v>
      </c>
      <c r="D78">
        <v>1</v>
      </c>
      <c r="E78">
        <v>2</v>
      </c>
      <c r="F78">
        <v>1</v>
      </c>
      <c r="G78">
        <v>5</v>
      </c>
      <c r="H78">
        <v>5</v>
      </c>
      <c r="I78">
        <v>4</v>
      </c>
      <c r="J78">
        <v>4</v>
      </c>
      <c r="K78">
        <v>4</v>
      </c>
      <c r="L78">
        <v>4</v>
      </c>
      <c r="O78" s="42">
        <v>6</v>
      </c>
      <c r="P78">
        <f>COUNTIFS($A$2:$A$137,"6",$L$2:$L$137,"1")</f>
        <v>0</v>
      </c>
      <c r="Q78">
        <f>COUNTIFS($A$2:$A$137,"6",$L$2:$L$137,"2")</f>
        <v>1</v>
      </c>
      <c r="R78">
        <f>COUNTIFS($A$2:$A$137,"6",$L$2:$L$137,"3")</f>
        <v>3</v>
      </c>
      <c r="S78">
        <f>COUNTIFS($A$2:$A$137,"6",$L$2:$L$137,"4")</f>
        <v>4</v>
      </c>
      <c r="T78">
        <f>COUNTIFS($A$2:$A$137,"6",$L$2:$L$137,"5")</f>
        <v>2</v>
      </c>
      <c r="U78" s="43">
        <f t="shared" si="25"/>
        <v>10</v>
      </c>
      <c r="V78" s="43"/>
      <c r="X78" s="42">
        <v>5</v>
      </c>
      <c r="Y78">
        <f t="shared" si="28"/>
        <v>1.286764705882353</v>
      </c>
      <c r="Z78">
        <f t="shared" si="28"/>
        <v>7.4632352941176467</v>
      </c>
      <c r="AA78">
        <f t="shared" si="28"/>
        <v>11.066176470588236</v>
      </c>
      <c r="AB78">
        <f t="shared" si="28"/>
        <v>10.294117647058824</v>
      </c>
      <c r="AC78">
        <f t="shared" si="28"/>
        <v>4.8897058823529411</v>
      </c>
      <c r="AD78" s="43">
        <f t="shared" si="27"/>
        <v>35</v>
      </c>
      <c r="AE78" s="43"/>
      <c r="AG78" s="42">
        <v>5</v>
      </c>
      <c r="AH78">
        <f t="shared" si="29"/>
        <v>1.286764705882353</v>
      </c>
      <c r="AI78">
        <f t="shared" si="29"/>
        <v>5.597225441900898</v>
      </c>
      <c r="AJ78">
        <f t="shared" si="29"/>
        <v>5.8794655071330864</v>
      </c>
      <c r="AK78">
        <f t="shared" si="29"/>
        <v>3.8484033613445385</v>
      </c>
      <c r="AL78">
        <f t="shared" si="29"/>
        <v>1.7077509951348959</v>
      </c>
      <c r="AM78" s="45">
        <f t="shared" si="30"/>
        <v>18.31961001139577</v>
      </c>
      <c r="AN78" s="43"/>
      <c r="AP78" s="2" t="s">
        <v>203</v>
      </c>
      <c r="AQ78" s="50">
        <v>26.3</v>
      </c>
    </row>
    <row r="79" spans="1:43" ht="18" x14ac:dyDescent="0.35">
      <c r="A79">
        <v>2</v>
      </c>
      <c r="B79">
        <v>1</v>
      </c>
      <c r="C79">
        <v>2</v>
      </c>
      <c r="D79">
        <v>1</v>
      </c>
      <c r="E79">
        <v>2</v>
      </c>
      <c r="F79">
        <v>2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P79" s="43">
        <f>SUM(P73:P78)</f>
        <v>5</v>
      </c>
      <c r="Q79" s="43">
        <f>SUM(Q73:Q78)</f>
        <v>29</v>
      </c>
      <c r="R79" s="43">
        <f>SUM(R73:R78)</f>
        <v>43</v>
      </c>
      <c r="S79" s="43">
        <f>SUM(S73:S78)</f>
        <v>40</v>
      </c>
      <c r="T79" s="43">
        <f>SUM(T73:T78)</f>
        <v>19</v>
      </c>
      <c r="U79" s="48">
        <f t="shared" si="25"/>
        <v>136</v>
      </c>
      <c r="V79" s="46"/>
      <c r="X79" s="42">
        <v>6</v>
      </c>
      <c r="Y79">
        <f t="shared" si="28"/>
        <v>0.36764705882352944</v>
      </c>
      <c r="Z79">
        <f t="shared" si="28"/>
        <v>2.1323529411764706</v>
      </c>
      <c r="AA79">
        <f t="shared" si="28"/>
        <v>3.1617647058823528</v>
      </c>
      <c r="AB79">
        <f t="shared" si="28"/>
        <v>2.9411764705882355</v>
      </c>
      <c r="AC79">
        <f t="shared" si="28"/>
        <v>1.3970588235294117</v>
      </c>
      <c r="AD79" s="43">
        <f t="shared" si="27"/>
        <v>10</v>
      </c>
      <c r="AE79" s="43"/>
      <c r="AG79" s="42">
        <v>6</v>
      </c>
      <c r="AH79">
        <f t="shared" si="29"/>
        <v>58.367647058823536</v>
      </c>
      <c r="AI79">
        <f t="shared" si="29"/>
        <v>338.53235294117644</v>
      </c>
      <c r="AJ79">
        <f t="shared" si="29"/>
        <v>501.96176470588233</v>
      </c>
      <c r="AK79">
        <f t="shared" si="29"/>
        <v>466.94117647058829</v>
      </c>
      <c r="AL79">
        <f t="shared" si="29"/>
        <v>221.7970588235294</v>
      </c>
      <c r="AM79" s="45">
        <f t="shared" si="30"/>
        <v>1587.6</v>
      </c>
      <c r="AN79" s="43"/>
      <c r="AP79" s="2" t="s">
        <v>206</v>
      </c>
      <c r="AQ79">
        <f>_xlfn.CHISQ.DIST.RT(AQ77,AQ76)</f>
        <v>0</v>
      </c>
    </row>
    <row r="80" spans="1:43" ht="18" x14ac:dyDescent="0.35">
      <c r="A80">
        <v>5</v>
      </c>
      <c r="B80">
        <v>2</v>
      </c>
      <c r="C80">
        <v>1</v>
      </c>
      <c r="D80">
        <v>4</v>
      </c>
      <c r="E80">
        <v>1</v>
      </c>
      <c r="F80">
        <v>2</v>
      </c>
      <c r="G80">
        <v>4</v>
      </c>
      <c r="H80">
        <v>5</v>
      </c>
      <c r="I80">
        <v>5</v>
      </c>
      <c r="J80">
        <v>5</v>
      </c>
      <c r="K80">
        <v>4</v>
      </c>
      <c r="L80">
        <v>5</v>
      </c>
      <c r="Y80" s="43">
        <f>SUM(Y74:Y79)</f>
        <v>5</v>
      </c>
      <c r="Z80" s="43">
        <f>SUM(Z74:Z79)</f>
        <v>29</v>
      </c>
      <c r="AA80" s="43">
        <f>SUM(AA74:AA79)</f>
        <v>43.000000000000007</v>
      </c>
      <c r="AB80" s="43">
        <f>SUM(AB74:AB79)</f>
        <v>40</v>
      </c>
      <c r="AC80" s="43">
        <f>SUM(AC74:AC79)</f>
        <v>19.000000000000004</v>
      </c>
      <c r="AD80" s="48">
        <f t="shared" si="27"/>
        <v>136</v>
      </c>
      <c r="AE80" s="43"/>
      <c r="AH80" s="48">
        <f>SUM(AH74:AH79)</f>
        <v>68.660606060606071</v>
      </c>
      <c r="AI80" s="48">
        <f>SUM(AI74:AI79)</f>
        <v>351.27108523660246</v>
      </c>
      <c r="AJ80" s="48">
        <f>SUM(AJ74:AJ79)</f>
        <v>521.22423571260776</v>
      </c>
      <c r="AK80" s="48">
        <f>SUM(AK74:AK79)</f>
        <v>478.44928571428579</v>
      </c>
      <c r="AL80" s="48">
        <f>SUM(AL74:AL79)</f>
        <v>233.14776334776334</v>
      </c>
      <c r="AM80" s="46">
        <f t="shared" si="30"/>
        <v>1652.7529760718655</v>
      </c>
      <c r="AN80" s="43"/>
      <c r="AP80" t="s">
        <v>216</v>
      </c>
    </row>
    <row r="81" spans="1:43" ht="15.6" x14ac:dyDescent="0.3">
      <c r="A81">
        <v>5</v>
      </c>
      <c r="B81">
        <v>2</v>
      </c>
      <c r="C81">
        <v>1</v>
      </c>
      <c r="D81">
        <v>5</v>
      </c>
      <c r="E81">
        <v>1</v>
      </c>
      <c r="F81">
        <v>2</v>
      </c>
      <c r="G81">
        <v>2</v>
      </c>
      <c r="H81">
        <v>4</v>
      </c>
      <c r="I81">
        <v>5</v>
      </c>
      <c r="J81">
        <v>2</v>
      </c>
      <c r="K81">
        <v>2</v>
      </c>
      <c r="L81">
        <v>2</v>
      </c>
      <c r="O81" t="s">
        <v>227</v>
      </c>
      <c r="AP81" s="2" t="s">
        <v>313</v>
      </c>
      <c r="AQ81" s="50">
        <f>SQRT(AQ77/($AQ$9*$AQ$10))</f>
        <v>1.7430286437902511</v>
      </c>
    </row>
    <row r="82" spans="1:43" x14ac:dyDescent="0.3">
      <c r="A82">
        <v>3</v>
      </c>
      <c r="B82">
        <v>2</v>
      </c>
      <c r="C82">
        <v>1</v>
      </c>
      <c r="D82">
        <v>4</v>
      </c>
      <c r="E82">
        <v>1</v>
      </c>
      <c r="F82">
        <v>2</v>
      </c>
      <c r="G82">
        <v>5</v>
      </c>
      <c r="H82">
        <v>5</v>
      </c>
      <c r="I82">
        <v>4</v>
      </c>
      <c r="J82">
        <v>4</v>
      </c>
      <c r="K82">
        <v>5</v>
      </c>
      <c r="L82">
        <v>5</v>
      </c>
      <c r="P82" t="s">
        <v>228</v>
      </c>
    </row>
    <row r="83" spans="1:43" x14ac:dyDescent="0.3">
      <c r="A83">
        <v>2</v>
      </c>
      <c r="B83">
        <v>2</v>
      </c>
      <c r="C83">
        <v>2</v>
      </c>
      <c r="D83">
        <v>2</v>
      </c>
      <c r="E83">
        <v>2</v>
      </c>
      <c r="F83">
        <v>3</v>
      </c>
      <c r="G83">
        <v>4</v>
      </c>
      <c r="H83">
        <v>4</v>
      </c>
      <c r="I83">
        <v>4</v>
      </c>
      <c r="J83">
        <v>2</v>
      </c>
      <c r="K83">
        <v>3</v>
      </c>
      <c r="L83">
        <v>5</v>
      </c>
    </row>
    <row r="84" spans="1:43" x14ac:dyDescent="0.3">
      <c r="A84">
        <v>2</v>
      </c>
      <c r="B84">
        <v>2</v>
      </c>
      <c r="C84">
        <v>1</v>
      </c>
      <c r="D84">
        <v>2</v>
      </c>
      <c r="E84">
        <v>2</v>
      </c>
      <c r="F84">
        <v>3</v>
      </c>
      <c r="G84">
        <v>3</v>
      </c>
      <c r="H84">
        <v>4</v>
      </c>
      <c r="I84">
        <v>4</v>
      </c>
      <c r="J84">
        <v>3</v>
      </c>
      <c r="K84">
        <v>3</v>
      </c>
      <c r="L84">
        <v>4</v>
      </c>
    </row>
    <row r="85" spans="1:43" x14ac:dyDescent="0.3">
      <c r="A85">
        <v>2</v>
      </c>
      <c r="B85">
        <v>2</v>
      </c>
      <c r="C85">
        <v>2</v>
      </c>
      <c r="D85">
        <v>2</v>
      </c>
      <c r="E85">
        <v>2</v>
      </c>
      <c r="F85">
        <v>2</v>
      </c>
      <c r="G85">
        <v>4</v>
      </c>
      <c r="H85">
        <v>4</v>
      </c>
      <c r="I85">
        <v>5</v>
      </c>
      <c r="J85">
        <v>3</v>
      </c>
      <c r="K85">
        <v>4</v>
      </c>
      <c r="L85">
        <v>4</v>
      </c>
    </row>
    <row r="86" spans="1:43" x14ac:dyDescent="0.3">
      <c r="A86">
        <v>6</v>
      </c>
      <c r="B86">
        <v>2</v>
      </c>
      <c r="C86">
        <v>3</v>
      </c>
      <c r="D86">
        <v>5</v>
      </c>
      <c r="E86">
        <v>4</v>
      </c>
      <c r="F86">
        <v>2</v>
      </c>
      <c r="G86">
        <v>3</v>
      </c>
      <c r="H86">
        <v>4</v>
      </c>
      <c r="I86">
        <v>4</v>
      </c>
      <c r="J86">
        <v>4</v>
      </c>
      <c r="K86">
        <v>4</v>
      </c>
      <c r="L86">
        <v>5</v>
      </c>
    </row>
    <row r="87" spans="1:43" x14ac:dyDescent="0.3">
      <c r="A87">
        <v>6</v>
      </c>
      <c r="B87">
        <v>2</v>
      </c>
      <c r="C87">
        <v>1</v>
      </c>
      <c r="D87">
        <v>5</v>
      </c>
      <c r="E87">
        <v>2</v>
      </c>
      <c r="F87">
        <v>2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</row>
    <row r="88" spans="1:43" x14ac:dyDescent="0.3">
      <c r="A88">
        <v>3</v>
      </c>
      <c r="B88">
        <v>2</v>
      </c>
      <c r="C88">
        <v>1</v>
      </c>
      <c r="D88">
        <v>2</v>
      </c>
      <c r="E88">
        <v>1</v>
      </c>
      <c r="F88">
        <v>2</v>
      </c>
      <c r="G88">
        <v>5</v>
      </c>
      <c r="H88">
        <v>5</v>
      </c>
      <c r="I88">
        <v>4</v>
      </c>
      <c r="J88">
        <v>4</v>
      </c>
      <c r="K88">
        <v>5</v>
      </c>
      <c r="L88">
        <v>4</v>
      </c>
    </row>
    <row r="89" spans="1:43" x14ac:dyDescent="0.3">
      <c r="A89">
        <v>6</v>
      </c>
      <c r="B89">
        <v>2</v>
      </c>
      <c r="C89">
        <v>3</v>
      </c>
      <c r="D89">
        <v>5</v>
      </c>
      <c r="E89">
        <v>4</v>
      </c>
      <c r="F89">
        <v>2</v>
      </c>
      <c r="G89">
        <v>4</v>
      </c>
      <c r="H89">
        <v>4</v>
      </c>
      <c r="I89">
        <v>4</v>
      </c>
      <c r="J89">
        <v>4</v>
      </c>
      <c r="K89">
        <v>4</v>
      </c>
      <c r="L89">
        <v>3</v>
      </c>
    </row>
    <row r="90" spans="1:43" x14ac:dyDescent="0.3">
      <c r="A90">
        <v>3</v>
      </c>
      <c r="B90">
        <v>2</v>
      </c>
      <c r="C90">
        <v>2</v>
      </c>
      <c r="D90">
        <v>3</v>
      </c>
      <c r="E90">
        <v>2</v>
      </c>
      <c r="F90">
        <v>1</v>
      </c>
      <c r="G90">
        <v>3</v>
      </c>
      <c r="H90">
        <v>4</v>
      </c>
      <c r="I90">
        <v>5</v>
      </c>
      <c r="J90">
        <v>3</v>
      </c>
      <c r="K90">
        <v>2</v>
      </c>
      <c r="L90">
        <v>3</v>
      </c>
    </row>
    <row r="91" spans="1:43" x14ac:dyDescent="0.3">
      <c r="A91">
        <v>3</v>
      </c>
      <c r="B91">
        <v>2</v>
      </c>
      <c r="C91">
        <v>2</v>
      </c>
      <c r="D91">
        <v>3</v>
      </c>
      <c r="E91">
        <v>2</v>
      </c>
      <c r="F91">
        <v>2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</row>
    <row r="92" spans="1:43" x14ac:dyDescent="0.3">
      <c r="A92">
        <v>3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5</v>
      </c>
      <c r="I92">
        <v>5</v>
      </c>
      <c r="J92">
        <v>2</v>
      </c>
      <c r="K92">
        <v>3</v>
      </c>
      <c r="L92">
        <v>3</v>
      </c>
    </row>
    <row r="93" spans="1:43" x14ac:dyDescent="0.3">
      <c r="A93">
        <v>3</v>
      </c>
      <c r="B93">
        <v>2</v>
      </c>
      <c r="C93">
        <v>2</v>
      </c>
      <c r="D93">
        <v>2</v>
      </c>
      <c r="E93">
        <v>2</v>
      </c>
      <c r="F93">
        <v>2</v>
      </c>
      <c r="G93">
        <v>3</v>
      </c>
      <c r="H93">
        <v>5</v>
      </c>
      <c r="I93">
        <v>4</v>
      </c>
      <c r="J93">
        <v>3</v>
      </c>
      <c r="K93">
        <v>4</v>
      </c>
      <c r="L93">
        <v>3</v>
      </c>
    </row>
    <row r="94" spans="1:43" x14ac:dyDescent="0.3">
      <c r="A94">
        <v>4</v>
      </c>
      <c r="B94">
        <v>2</v>
      </c>
      <c r="C94">
        <v>2</v>
      </c>
      <c r="D94">
        <v>4</v>
      </c>
      <c r="E94">
        <v>2</v>
      </c>
      <c r="F94">
        <v>3</v>
      </c>
      <c r="G94">
        <v>5</v>
      </c>
      <c r="H94">
        <v>4</v>
      </c>
      <c r="I94">
        <v>4</v>
      </c>
      <c r="J94">
        <v>4</v>
      </c>
      <c r="K94">
        <v>4</v>
      </c>
      <c r="L94">
        <v>2</v>
      </c>
    </row>
    <row r="95" spans="1:43" x14ac:dyDescent="0.3">
      <c r="A95">
        <v>4</v>
      </c>
      <c r="B95">
        <v>2</v>
      </c>
      <c r="C95">
        <v>3</v>
      </c>
      <c r="D95">
        <v>5</v>
      </c>
      <c r="E95">
        <v>4</v>
      </c>
      <c r="F95">
        <v>3</v>
      </c>
      <c r="G95">
        <v>4</v>
      </c>
      <c r="H95">
        <v>4</v>
      </c>
      <c r="I95">
        <v>5</v>
      </c>
      <c r="J95">
        <v>3</v>
      </c>
      <c r="K95">
        <v>4</v>
      </c>
      <c r="L95">
        <v>3</v>
      </c>
    </row>
    <row r="96" spans="1:43" x14ac:dyDescent="0.3">
      <c r="A96">
        <v>2</v>
      </c>
      <c r="B96">
        <v>2</v>
      </c>
      <c r="C96">
        <v>2</v>
      </c>
      <c r="D96">
        <v>2</v>
      </c>
      <c r="E96">
        <v>2</v>
      </c>
      <c r="F96">
        <v>3</v>
      </c>
      <c r="G96">
        <v>3</v>
      </c>
      <c r="H96">
        <v>5</v>
      </c>
      <c r="I96">
        <v>3</v>
      </c>
      <c r="J96">
        <v>4</v>
      </c>
      <c r="K96">
        <v>5</v>
      </c>
      <c r="L96">
        <v>2</v>
      </c>
    </row>
    <row r="97" spans="1:12" x14ac:dyDescent="0.3">
      <c r="A97">
        <v>4</v>
      </c>
      <c r="B97">
        <v>2</v>
      </c>
      <c r="C97">
        <v>3</v>
      </c>
      <c r="D97">
        <v>5</v>
      </c>
      <c r="E97">
        <v>4</v>
      </c>
      <c r="F97">
        <v>2</v>
      </c>
      <c r="G97">
        <v>2</v>
      </c>
      <c r="H97">
        <v>4</v>
      </c>
      <c r="I97">
        <v>4</v>
      </c>
      <c r="J97">
        <v>2</v>
      </c>
      <c r="K97">
        <v>2</v>
      </c>
      <c r="L97">
        <v>4</v>
      </c>
    </row>
    <row r="98" spans="1:12" x14ac:dyDescent="0.3">
      <c r="A98">
        <v>3</v>
      </c>
      <c r="B98">
        <v>2</v>
      </c>
      <c r="C98">
        <v>2</v>
      </c>
      <c r="D98">
        <v>1</v>
      </c>
      <c r="E98">
        <v>2</v>
      </c>
      <c r="F98">
        <v>2</v>
      </c>
      <c r="G98">
        <v>5</v>
      </c>
      <c r="H98">
        <v>5</v>
      </c>
      <c r="I98">
        <v>5</v>
      </c>
      <c r="J98">
        <v>4</v>
      </c>
      <c r="K98">
        <v>4</v>
      </c>
      <c r="L98">
        <v>5</v>
      </c>
    </row>
    <row r="99" spans="1:12" x14ac:dyDescent="0.3">
      <c r="A99">
        <v>3</v>
      </c>
      <c r="B99">
        <v>2</v>
      </c>
      <c r="C99">
        <v>2</v>
      </c>
      <c r="D99">
        <v>2</v>
      </c>
      <c r="E99">
        <v>2</v>
      </c>
      <c r="F99">
        <v>2</v>
      </c>
      <c r="G99">
        <v>4</v>
      </c>
      <c r="H99">
        <v>4</v>
      </c>
      <c r="I99">
        <v>4</v>
      </c>
      <c r="J99">
        <v>3</v>
      </c>
      <c r="K99">
        <v>4</v>
      </c>
      <c r="L99">
        <v>4</v>
      </c>
    </row>
    <row r="100" spans="1:12" x14ac:dyDescent="0.3">
      <c r="A100">
        <v>4</v>
      </c>
      <c r="B100">
        <v>2</v>
      </c>
      <c r="C100">
        <v>2</v>
      </c>
      <c r="D100">
        <v>4</v>
      </c>
      <c r="E100">
        <v>4</v>
      </c>
      <c r="F100">
        <v>2</v>
      </c>
      <c r="G100">
        <v>3</v>
      </c>
      <c r="H100">
        <v>2</v>
      </c>
      <c r="I100">
        <v>4</v>
      </c>
      <c r="J100">
        <v>2</v>
      </c>
      <c r="K100">
        <v>2</v>
      </c>
      <c r="L100">
        <v>4</v>
      </c>
    </row>
    <row r="101" spans="1:12" x14ac:dyDescent="0.3">
      <c r="A101">
        <v>3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4</v>
      </c>
      <c r="H101">
        <v>4</v>
      </c>
      <c r="I101">
        <v>5</v>
      </c>
      <c r="J101">
        <v>4</v>
      </c>
      <c r="K101">
        <v>4</v>
      </c>
      <c r="L101">
        <v>2</v>
      </c>
    </row>
    <row r="102" spans="1:12" x14ac:dyDescent="0.3">
      <c r="A102">
        <v>5</v>
      </c>
      <c r="B102">
        <v>2</v>
      </c>
      <c r="C102">
        <v>3</v>
      </c>
      <c r="D102">
        <v>5</v>
      </c>
      <c r="E102">
        <v>4</v>
      </c>
      <c r="F102">
        <v>2</v>
      </c>
      <c r="G102">
        <v>4</v>
      </c>
      <c r="H102">
        <v>4</v>
      </c>
      <c r="I102">
        <v>3</v>
      </c>
      <c r="J102">
        <v>2</v>
      </c>
      <c r="K102">
        <v>3</v>
      </c>
      <c r="L102">
        <v>3</v>
      </c>
    </row>
    <row r="103" spans="1:12" x14ac:dyDescent="0.3">
      <c r="A103">
        <v>4</v>
      </c>
      <c r="B103">
        <v>2</v>
      </c>
      <c r="C103">
        <v>1</v>
      </c>
      <c r="D103">
        <v>2</v>
      </c>
      <c r="E103">
        <v>1</v>
      </c>
      <c r="F103">
        <v>2</v>
      </c>
      <c r="G103">
        <v>3</v>
      </c>
      <c r="H103">
        <v>4</v>
      </c>
      <c r="I103">
        <v>4</v>
      </c>
      <c r="J103">
        <v>4</v>
      </c>
      <c r="K103">
        <v>3</v>
      </c>
      <c r="L103">
        <v>3</v>
      </c>
    </row>
    <row r="104" spans="1:12" x14ac:dyDescent="0.3">
      <c r="A104">
        <v>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4</v>
      </c>
      <c r="H104">
        <v>3</v>
      </c>
      <c r="I104">
        <v>3</v>
      </c>
      <c r="J104">
        <v>3</v>
      </c>
      <c r="K104">
        <v>2</v>
      </c>
      <c r="L104">
        <v>2</v>
      </c>
    </row>
    <row r="105" spans="1:12" x14ac:dyDescent="0.3">
      <c r="A105">
        <v>3</v>
      </c>
      <c r="B105">
        <v>2</v>
      </c>
      <c r="C105">
        <v>2</v>
      </c>
      <c r="D105">
        <v>3</v>
      </c>
      <c r="E105">
        <v>2</v>
      </c>
      <c r="F105">
        <v>3</v>
      </c>
      <c r="G105">
        <v>2</v>
      </c>
      <c r="H105">
        <v>5</v>
      </c>
      <c r="I105">
        <v>5</v>
      </c>
      <c r="J105">
        <v>4</v>
      </c>
      <c r="K105">
        <v>4</v>
      </c>
      <c r="L105">
        <v>3</v>
      </c>
    </row>
    <row r="106" spans="1:12" x14ac:dyDescent="0.3">
      <c r="A106">
        <v>3</v>
      </c>
      <c r="B106">
        <v>2</v>
      </c>
      <c r="C106">
        <v>2</v>
      </c>
      <c r="D106">
        <v>3</v>
      </c>
      <c r="E106">
        <v>2</v>
      </c>
      <c r="F106">
        <v>3</v>
      </c>
      <c r="G106">
        <v>4</v>
      </c>
      <c r="H106">
        <v>5</v>
      </c>
      <c r="I106">
        <v>4</v>
      </c>
      <c r="J106">
        <v>4</v>
      </c>
      <c r="K106">
        <v>4</v>
      </c>
      <c r="L106">
        <v>3</v>
      </c>
    </row>
    <row r="107" spans="1:12" x14ac:dyDescent="0.3">
      <c r="A107">
        <v>5</v>
      </c>
      <c r="B107">
        <v>2</v>
      </c>
      <c r="C107">
        <v>3</v>
      </c>
      <c r="D107">
        <v>5</v>
      </c>
      <c r="E107">
        <v>4</v>
      </c>
      <c r="F107">
        <v>3</v>
      </c>
      <c r="G107">
        <v>3</v>
      </c>
      <c r="H107">
        <v>4</v>
      </c>
      <c r="I107">
        <v>5</v>
      </c>
      <c r="J107">
        <v>4</v>
      </c>
      <c r="K107">
        <v>4</v>
      </c>
      <c r="L107">
        <v>4</v>
      </c>
    </row>
    <row r="108" spans="1:12" x14ac:dyDescent="0.3">
      <c r="A108">
        <v>4</v>
      </c>
      <c r="B108">
        <v>2</v>
      </c>
      <c r="C108">
        <v>2</v>
      </c>
      <c r="D108">
        <v>5</v>
      </c>
      <c r="E108">
        <v>4</v>
      </c>
      <c r="F108">
        <v>2</v>
      </c>
      <c r="G108">
        <v>3</v>
      </c>
      <c r="H108">
        <v>4</v>
      </c>
      <c r="I108">
        <v>4</v>
      </c>
      <c r="J108">
        <v>3</v>
      </c>
      <c r="K108">
        <v>3</v>
      </c>
      <c r="L108">
        <v>3</v>
      </c>
    </row>
    <row r="109" spans="1:12" x14ac:dyDescent="0.3">
      <c r="A109">
        <v>2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3</v>
      </c>
      <c r="H109">
        <v>4</v>
      </c>
      <c r="I109">
        <v>3</v>
      </c>
      <c r="J109">
        <v>2</v>
      </c>
      <c r="K109">
        <v>3</v>
      </c>
      <c r="L109">
        <v>4</v>
      </c>
    </row>
    <row r="110" spans="1:12" x14ac:dyDescent="0.3">
      <c r="A110">
        <v>3</v>
      </c>
      <c r="B110">
        <v>2</v>
      </c>
      <c r="C110">
        <v>1</v>
      </c>
      <c r="D110">
        <v>2</v>
      </c>
      <c r="E110">
        <v>2</v>
      </c>
      <c r="F110">
        <v>2</v>
      </c>
      <c r="G110">
        <v>4</v>
      </c>
      <c r="H110">
        <v>5</v>
      </c>
      <c r="I110">
        <v>4</v>
      </c>
      <c r="J110">
        <v>2</v>
      </c>
      <c r="K110">
        <v>2</v>
      </c>
      <c r="L110">
        <v>2</v>
      </c>
    </row>
    <row r="111" spans="1:12" x14ac:dyDescent="0.3">
      <c r="A111">
        <v>3</v>
      </c>
      <c r="B111">
        <v>2</v>
      </c>
      <c r="C111">
        <v>2</v>
      </c>
      <c r="D111">
        <v>2</v>
      </c>
      <c r="E111">
        <v>2</v>
      </c>
      <c r="F111">
        <v>3</v>
      </c>
      <c r="G111">
        <v>4</v>
      </c>
      <c r="H111">
        <v>5</v>
      </c>
      <c r="I111">
        <v>4</v>
      </c>
      <c r="J111">
        <v>3</v>
      </c>
      <c r="K111">
        <v>4</v>
      </c>
      <c r="L111">
        <v>4</v>
      </c>
    </row>
    <row r="112" spans="1:12" x14ac:dyDescent="0.3">
      <c r="A112">
        <v>4</v>
      </c>
      <c r="B112">
        <v>2</v>
      </c>
      <c r="C112">
        <v>2</v>
      </c>
      <c r="D112">
        <v>3</v>
      </c>
      <c r="E112">
        <v>3</v>
      </c>
      <c r="F112">
        <v>2</v>
      </c>
      <c r="G112">
        <v>3</v>
      </c>
      <c r="H112">
        <v>4</v>
      </c>
      <c r="I112">
        <v>4</v>
      </c>
      <c r="J112">
        <v>3</v>
      </c>
      <c r="K112">
        <v>5</v>
      </c>
      <c r="L112">
        <v>3</v>
      </c>
    </row>
    <row r="113" spans="1:12" x14ac:dyDescent="0.3">
      <c r="A113">
        <v>5</v>
      </c>
      <c r="B113">
        <v>2</v>
      </c>
      <c r="C113">
        <v>2</v>
      </c>
      <c r="D113">
        <v>3</v>
      </c>
      <c r="E113">
        <v>4</v>
      </c>
      <c r="F113">
        <v>2</v>
      </c>
      <c r="G113">
        <v>4</v>
      </c>
      <c r="H113">
        <v>5</v>
      </c>
      <c r="I113">
        <v>4</v>
      </c>
      <c r="J113">
        <v>4</v>
      </c>
      <c r="K113">
        <v>4</v>
      </c>
      <c r="L113">
        <v>4</v>
      </c>
    </row>
    <row r="114" spans="1:12" x14ac:dyDescent="0.3">
      <c r="A114">
        <v>5</v>
      </c>
      <c r="B114">
        <v>2</v>
      </c>
      <c r="C114">
        <v>1</v>
      </c>
      <c r="D114">
        <v>4</v>
      </c>
      <c r="E114">
        <v>2</v>
      </c>
      <c r="F114">
        <v>2</v>
      </c>
      <c r="G114">
        <v>3</v>
      </c>
      <c r="H114">
        <v>5</v>
      </c>
      <c r="I114">
        <v>4</v>
      </c>
      <c r="J114">
        <v>4</v>
      </c>
      <c r="K114">
        <v>4</v>
      </c>
      <c r="L114">
        <v>4</v>
      </c>
    </row>
    <row r="115" spans="1:12" x14ac:dyDescent="0.3">
      <c r="A115">
        <v>2</v>
      </c>
      <c r="B115">
        <v>2</v>
      </c>
      <c r="C115">
        <v>2</v>
      </c>
      <c r="D115">
        <v>1</v>
      </c>
      <c r="E115">
        <v>2</v>
      </c>
      <c r="F115">
        <v>2</v>
      </c>
      <c r="G115">
        <v>3</v>
      </c>
      <c r="H115">
        <v>4</v>
      </c>
      <c r="I115">
        <v>5</v>
      </c>
      <c r="J115">
        <v>4</v>
      </c>
      <c r="K115">
        <v>4</v>
      </c>
      <c r="L115">
        <v>5</v>
      </c>
    </row>
    <row r="116" spans="1:12" x14ac:dyDescent="0.3">
      <c r="A116">
        <v>2</v>
      </c>
      <c r="B116">
        <v>2</v>
      </c>
      <c r="C116">
        <v>2</v>
      </c>
      <c r="D116">
        <v>1</v>
      </c>
      <c r="E116">
        <v>2</v>
      </c>
      <c r="F116">
        <v>3</v>
      </c>
      <c r="G116">
        <v>4</v>
      </c>
      <c r="H116">
        <v>5</v>
      </c>
      <c r="I116">
        <v>5</v>
      </c>
      <c r="J116">
        <v>4</v>
      </c>
      <c r="K116">
        <v>4</v>
      </c>
      <c r="L116">
        <v>4</v>
      </c>
    </row>
    <row r="117" spans="1:12" x14ac:dyDescent="0.3">
      <c r="A117">
        <v>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5</v>
      </c>
      <c r="I117">
        <v>5</v>
      </c>
      <c r="J117">
        <v>3</v>
      </c>
      <c r="K117">
        <v>4</v>
      </c>
      <c r="L117">
        <v>4</v>
      </c>
    </row>
    <row r="118" spans="1:12" x14ac:dyDescent="0.3">
      <c r="A118">
        <v>4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3</v>
      </c>
    </row>
    <row r="119" spans="1:12" x14ac:dyDescent="0.3">
      <c r="A119">
        <v>3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4</v>
      </c>
      <c r="H119">
        <v>5</v>
      </c>
      <c r="I119">
        <v>5</v>
      </c>
      <c r="J119">
        <v>2</v>
      </c>
      <c r="K119">
        <v>3</v>
      </c>
      <c r="L119">
        <v>3</v>
      </c>
    </row>
    <row r="120" spans="1:12" x14ac:dyDescent="0.3">
      <c r="A120">
        <v>3</v>
      </c>
      <c r="B120">
        <v>2</v>
      </c>
      <c r="C120">
        <v>1</v>
      </c>
      <c r="D120">
        <v>2</v>
      </c>
      <c r="E120">
        <v>1</v>
      </c>
      <c r="F120">
        <v>3</v>
      </c>
      <c r="G120">
        <v>4</v>
      </c>
      <c r="H120">
        <v>5</v>
      </c>
      <c r="I120">
        <v>4</v>
      </c>
      <c r="J120">
        <v>1</v>
      </c>
      <c r="K120">
        <v>3</v>
      </c>
      <c r="L120">
        <v>2</v>
      </c>
    </row>
    <row r="121" spans="1:12" x14ac:dyDescent="0.3">
      <c r="A121">
        <v>3</v>
      </c>
      <c r="B121">
        <v>2</v>
      </c>
      <c r="C121">
        <v>2</v>
      </c>
      <c r="D121">
        <v>3</v>
      </c>
      <c r="E121">
        <v>3</v>
      </c>
      <c r="F121">
        <v>3</v>
      </c>
      <c r="G121">
        <v>2</v>
      </c>
      <c r="H121">
        <v>4</v>
      </c>
      <c r="I121">
        <v>5</v>
      </c>
      <c r="J121">
        <v>3</v>
      </c>
      <c r="K121">
        <v>4</v>
      </c>
      <c r="L121">
        <v>5</v>
      </c>
    </row>
    <row r="122" spans="1:12" x14ac:dyDescent="0.3">
      <c r="A122">
        <v>6</v>
      </c>
      <c r="B122">
        <v>2</v>
      </c>
      <c r="C122">
        <v>1</v>
      </c>
      <c r="D122">
        <v>3</v>
      </c>
      <c r="E122">
        <v>1</v>
      </c>
      <c r="F122">
        <v>2</v>
      </c>
      <c r="G122">
        <v>4</v>
      </c>
      <c r="H122">
        <v>5</v>
      </c>
      <c r="I122">
        <v>5</v>
      </c>
      <c r="J122">
        <v>5</v>
      </c>
      <c r="K122">
        <v>5</v>
      </c>
      <c r="L122">
        <v>4</v>
      </c>
    </row>
    <row r="123" spans="1:12" x14ac:dyDescent="0.3">
      <c r="A123">
        <v>4</v>
      </c>
      <c r="B123">
        <v>2</v>
      </c>
      <c r="C123">
        <v>3</v>
      </c>
      <c r="D123">
        <v>4</v>
      </c>
      <c r="E123">
        <v>4</v>
      </c>
      <c r="F123">
        <v>2</v>
      </c>
      <c r="G123">
        <v>1</v>
      </c>
      <c r="H123">
        <v>5</v>
      </c>
      <c r="I123">
        <v>4</v>
      </c>
      <c r="J123">
        <v>1</v>
      </c>
      <c r="K123">
        <v>3</v>
      </c>
      <c r="L123">
        <v>2</v>
      </c>
    </row>
    <row r="124" spans="1:12" x14ac:dyDescent="0.3">
      <c r="A124">
        <v>4</v>
      </c>
      <c r="B124">
        <v>2</v>
      </c>
      <c r="C124">
        <v>3</v>
      </c>
      <c r="D124">
        <v>5</v>
      </c>
      <c r="E124">
        <v>3</v>
      </c>
      <c r="F124">
        <v>2</v>
      </c>
      <c r="G124">
        <v>3</v>
      </c>
      <c r="H124">
        <v>3</v>
      </c>
      <c r="I124">
        <v>4</v>
      </c>
      <c r="J124">
        <v>3</v>
      </c>
      <c r="K124">
        <v>2</v>
      </c>
      <c r="L124">
        <v>3</v>
      </c>
    </row>
    <row r="125" spans="1:12" x14ac:dyDescent="0.3">
      <c r="A125">
        <v>5</v>
      </c>
      <c r="B125">
        <v>2</v>
      </c>
      <c r="C125">
        <v>2</v>
      </c>
      <c r="D125">
        <v>5</v>
      </c>
      <c r="E125">
        <v>4</v>
      </c>
      <c r="F125">
        <v>2</v>
      </c>
      <c r="G125">
        <v>5</v>
      </c>
      <c r="H125">
        <v>4</v>
      </c>
      <c r="I125">
        <v>4</v>
      </c>
      <c r="J125">
        <v>4</v>
      </c>
      <c r="K125">
        <v>5</v>
      </c>
      <c r="L125">
        <v>5</v>
      </c>
    </row>
    <row r="126" spans="1:12" x14ac:dyDescent="0.3">
      <c r="A126">
        <v>3</v>
      </c>
      <c r="B126">
        <v>2</v>
      </c>
      <c r="C126">
        <v>2</v>
      </c>
      <c r="D126">
        <v>3</v>
      </c>
      <c r="E126">
        <v>2</v>
      </c>
      <c r="F126">
        <v>3</v>
      </c>
      <c r="G126">
        <v>3</v>
      </c>
      <c r="H126">
        <v>4</v>
      </c>
      <c r="I126">
        <v>5</v>
      </c>
      <c r="J126">
        <v>3</v>
      </c>
      <c r="K126">
        <v>5</v>
      </c>
      <c r="L126">
        <v>3</v>
      </c>
    </row>
    <row r="127" spans="1:12" x14ac:dyDescent="0.3">
      <c r="A127">
        <v>6</v>
      </c>
      <c r="B127">
        <v>2</v>
      </c>
      <c r="C127">
        <v>3</v>
      </c>
      <c r="D127">
        <v>5</v>
      </c>
      <c r="E127">
        <v>4</v>
      </c>
      <c r="F127">
        <v>2</v>
      </c>
      <c r="G127">
        <v>5</v>
      </c>
      <c r="H127">
        <v>4</v>
      </c>
      <c r="I127">
        <v>4</v>
      </c>
      <c r="J127">
        <v>3</v>
      </c>
      <c r="K127">
        <v>4</v>
      </c>
      <c r="L127">
        <v>4</v>
      </c>
    </row>
    <row r="128" spans="1:12" x14ac:dyDescent="0.3">
      <c r="A128">
        <v>3</v>
      </c>
      <c r="B128">
        <v>2</v>
      </c>
      <c r="C128">
        <v>2</v>
      </c>
      <c r="D128">
        <v>2</v>
      </c>
      <c r="E128">
        <v>2</v>
      </c>
      <c r="F128">
        <v>3</v>
      </c>
      <c r="G128">
        <v>2</v>
      </c>
      <c r="H128">
        <v>3</v>
      </c>
      <c r="I128">
        <v>4</v>
      </c>
      <c r="J128">
        <v>3</v>
      </c>
      <c r="K128">
        <v>3</v>
      </c>
      <c r="L128">
        <v>1</v>
      </c>
    </row>
    <row r="129" spans="1:12" x14ac:dyDescent="0.3">
      <c r="A129">
        <v>3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4</v>
      </c>
      <c r="H129">
        <v>5</v>
      </c>
      <c r="I129">
        <v>5</v>
      </c>
      <c r="J129">
        <v>2</v>
      </c>
      <c r="K129">
        <v>4</v>
      </c>
      <c r="L129">
        <v>1</v>
      </c>
    </row>
    <row r="130" spans="1:12" x14ac:dyDescent="0.3">
      <c r="A130">
        <v>4</v>
      </c>
      <c r="B130">
        <v>2</v>
      </c>
      <c r="C130">
        <v>1</v>
      </c>
      <c r="D130">
        <v>4</v>
      </c>
      <c r="E130">
        <v>1</v>
      </c>
      <c r="F130">
        <v>2</v>
      </c>
      <c r="G130">
        <v>2</v>
      </c>
      <c r="H130">
        <v>1</v>
      </c>
      <c r="I130">
        <v>1</v>
      </c>
      <c r="J130">
        <v>1</v>
      </c>
      <c r="K130">
        <v>2</v>
      </c>
      <c r="L130">
        <v>2</v>
      </c>
    </row>
    <row r="131" spans="1:12" x14ac:dyDescent="0.3">
      <c r="A131">
        <v>5</v>
      </c>
      <c r="B131">
        <v>2</v>
      </c>
      <c r="C131">
        <v>2</v>
      </c>
      <c r="D131">
        <v>2</v>
      </c>
      <c r="E131">
        <v>3</v>
      </c>
      <c r="F131">
        <v>2</v>
      </c>
      <c r="G131">
        <v>5</v>
      </c>
      <c r="H131">
        <v>5</v>
      </c>
      <c r="I131">
        <v>5</v>
      </c>
      <c r="J131">
        <v>3</v>
      </c>
      <c r="K131">
        <v>4</v>
      </c>
      <c r="L131">
        <v>3</v>
      </c>
    </row>
    <row r="132" spans="1:12" x14ac:dyDescent="0.3">
      <c r="A132">
        <v>4</v>
      </c>
      <c r="B132">
        <v>2</v>
      </c>
      <c r="C132">
        <v>3</v>
      </c>
      <c r="D132">
        <v>3</v>
      </c>
      <c r="E132">
        <v>2</v>
      </c>
      <c r="F132">
        <v>2</v>
      </c>
      <c r="G132">
        <v>3</v>
      </c>
      <c r="H132">
        <v>4</v>
      </c>
      <c r="I132">
        <v>5</v>
      </c>
      <c r="J132">
        <v>4</v>
      </c>
      <c r="K132">
        <v>5</v>
      </c>
      <c r="L132">
        <v>4</v>
      </c>
    </row>
    <row r="133" spans="1:12" x14ac:dyDescent="0.3">
      <c r="A133">
        <v>3</v>
      </c>
      <c r="B133">
        <v>2</v>
      </c>
      <c r="C133">
        <v>2</v>
      </c>
      <c r="D133">
        <v>2</v>
      </c>
      <c r="E133">
        <v>3</v>
      </c>
      <c r="F133">
        <v>2</v>
      </c>
      <c r="G133">
        <v>4</v>
      </c>
      <c r="H133">
        <v>4</v>
      </c>
      <c r="I133">
        <v>2</v>
      </c>
      <c r="J133">
        <v>2</v>
      </c>
      <c r="K133">
        <v>2</v>
      </c>
      <c r="L133">
        <v>2</v>
      </c>
    </row>
    <row r="134" spans="1:12" x14ac:dyDescent="0.3">
      <c r="A134">
        <v>2</v>
      </c>
      <c r="B134">
        <v>1</v>
      </c>
      <c r="C134">
        <v>1</v>
      </c>
      <c r="D134">
        <v>1</v>
      </c>
      <c r="E134">
        <v>1</v>
      </c>
      <c r="F134">
        <v>2</v>
      </c>
      <c r="G134">
        <v>3</v>
      </c>
      <c r="H134">
        <v>2</v>
      </c>
      <c r="I134">
        <v>4</v>
      </c>
      <c r="J134">
        <v>2</v>
      </c>
      <c r="K134">
        <v>4</v>
      </c>
      <c r="L134">
        <v>3</v>
      </c>
    </row>
    <row r="135" spans="1:12" x14ac:dyDescent="0.3">
      <c r="A135">
        <v>5</v>
      </c>
      <c r="B135">
        <v>2</v>
      </c>
      <c r="C135">
        <v>1</v>
      </c>
      <c r="D135">
        <v>2</v>
      </c>
      <c r="E135">
        <v>1</v>
      </c>
      <c r="F135">
        <v>1</v>
      </c>
      <c r="G135">
        <v>5</v>
      </c>
      <c r="H135">
        <v>4</v>
      </c>
      <c r="I135">
        <v>4</v>
      </c>
      <c r="J135">
        <v>5</v>
      </c>
      <c r="K135">
        <v>5</v>
      </c>
      <c r="L135">
        <v>1</v>
      </c>
    </row>
    <row r="136" spans="1:12" x14ac:dyDescent="0.3">
      <c r="A136">
        <v>4</v>
      </c>
      <c r="B136">
        <v>2</v>
      </c>
      <c r="C136">
        <v>3</v>
      </c>
      <c r="D136">
        <v>4</v>
      </c>
      <c r="E136">
        <v>3</v>
      </c>
      <c r="F136">
        <v>2</v>
      </c>
      <c r="G136">
        <v>3</v>
      </c>
      <c r="H136">
        <v>4</v>
      </c>
      <c r="I136">
        <v>4</v>
      </c>
      <c r="J136">
        <v>4</v>
      </c>
      <c r="K136">
        <v>4</v>
      </c>
      <c r="L136">
        <v>3</v>
      </c>
    </row>
    <row r="137" spans="1:12" x14ac:dyDescent="0.3">
      <c r="A137">
        <v>3</v>
      </c>
      <c r="B137">
        <v>2</v>
      </c>
      <c r="C137">
        <v>2</v>
      </c>
      <c r="D137">
        <v>3</v>
      </c>
      <c r="E137">
        <v>2</v>
      </c>
      <c r="F137">
        <v>2</v>
      </c>
      <c r="G137">
        <v>3</v>
      </c>
      <c r="H137">
        <v>2</v>
      </c>
      <c r="I137">
        <v>4</v>
      </c>
      <c r="J137">
        <v>2</v>
      </c>
      <c r="K137">
        <v>4</v>
      </c>
      <c r="L137">
        <v>2</v>
      </c>
    </row>
  </sheetData>
  <mergeCells count="18">
    <mergeCell ref="P1:U1"/>
    <mergeCell ref="Y1:AD1"/>
    <mergeCell ref="AH1:AM1"/>
    <mergeCell ref="P15:U15"/>
    <mergeCell ref="Y15:AD15"/>
    <mergeCell ref="AG15:AL15"/>
    <mergeCell ref="P29:U29"/>
    <mergeCell ref="Y29:AD29"/>
    <mergeCell ref="AG29:AM29"/>
    <mergeCell ref="P43:U43"/>
    <mergeCell ref="Y43:AD43"/>
    <mergeCell ref="AG43:AM43"/>
    <mergeCell ref="P57:U57"/>
    <mergeCell ref="Y58:AD58"/>
    <mergeCell ref="AG58:AM58"/>
    <mergeCell ref="P71:U71"/>
    <mergeCell ref="Y72:AD72"/>
    <mergeCell ref="AG72:AM72"/>
  </mergeCells>
  <hyperlinks>
    <hyperlink ref="P9" r:id="rId1" display="=@sum(P3:P8"/>
    <hyperlink ref="Q9:U9" r:id="rId2" display="=@sum(P3:P8"/>
    <hyperlink ref="P23" r:id="rId3" display="=@sum(P3:P8"/>
    <hyperlink ref="Q23:U23" r:id="rId4" display="=@sum(P3:P8"/>
    <hyperlink ref="P37" r:id="rId5" display="=@sum(P3:P8"/>
    <hyperlink ref="P51" r:id="rId6" display="=@sum(P3:P8"/>
    <hyperlink ref="Q51:U51" r:id="rId7" display="=@sum(P3:P8"/>
    <hyperlink ref="P65" r:id="rId8" display="=@sum(P3:P8"/>
    <hyperlink ref="P79" r:id="rId9" display="=@sum(P3:P8"/>
    <hyperlink ref="Q79:U79" r:id="rId10" display="=@sum(P3:P8"/>
    <hyperlink ref="Q65" r:id="rId11" display="=@sum(P3:P8"/>
    <hyperlink ref="R65" r:id="rId12" display="=@sum(P3:P8"/>
    <hyperlink ref="T65" r:id="rId13" display="=@sum(P3:P8"/>
    <hyperlink ref="S65" r:id="rId14" display="=@sum(P3:P8"/>
    <hyperlink ref="Y9" r:id="rId15" display="=@sum(P3:P8"/>
    <hyperlink ref="AH9" r:id="rId16" display="=@sum(P3:P8"/>
    <hyperlink ref="Y23" r:id="rId17" display="=@sum(P3:P8"/>
    <hyperlink ref="Z23:AD23" r:id="rId18" display="=@sum(P3:P8"/>
    <hyperlink ref="AH23" r:id="rId19" display="=@sum(P3:P8"/>
    <hyperlink ref="AM17" r:id="rId20" display="=@sum(AH18:AL18)"/>
    <hyperlink ref="AM18:AM23" r:id="rId21" display="=@sum(AH18:AL18)"/>
    <hyperlink ref="AM3" r:id="rId22" display="=@sum(AH3:AL3)"/>
    <hyperlink ref="AM4:AM9" r:id="rId23" display="=@sum(AH3:AL3)"/>
    <hyperlink ref="AQ5" r:id="rId24" display="=@sum(AH3:AL8)"/>
    <hyperlink ref="U31" r:id="rId25" display="=@sum(P3:U3"/>
    <hyperlink ref="U32:U37" r:id="rId26" display="=@sum(P3:U3"/>
    <hyperlink ref="U17" r:id="rId27" display="=@sum(P3:U3"/>
    <hyperlink ref="AD3" r:id="rId28" display="=@sum(Y3:AC3)"/>
    <hyperlink ref="AD17" r:id="rId29" display="=@sum(Y17:AD17)"/>
    <hyperlink ref="U3" r:id="rId30" display="=@sum(P3:U3"/>
    <hyperlink ref="AD4:AD8" r:id="rId31" display="=@sum(Y3:AC3)"/>
    <hyperlink ref="AD9" r:id="rId32" display="=@sum(Y3:AC3)"/>
    <hyperlink ref="U4:U9" r:id="rId33" display="=@sum(P3:U3"/>
    <hyperlink ref="U18:U23" r:id="rId34" display="=@sum(P3:U3"/>
    <hyperlink ref="AD18:AD23" r:id="rId35" display="=@sum(Y17:AD17)"/>
    <hyperlink ref="U45" r:id="rId36" display="=@sum(P45:T45)"/>
    <hyperlink ref="U46:U51" r:id="rId37" display="=@sum(P45:T45)"/>
    <hyperlink ref="U59" r:id="rId38" display="=@sum(P59:T59)"/>
    <hyperlink ref="U60:U65" r:id="rId39" display="=@sum(P59:T59)"/>
    <hyperlink ref="U73" r:id="rId40" display="=@sum(P73:T73"/>
    <hyperlink ref="U74:U79" r:id="rId41" display="=@sum(P73:T73"/>
    <hyperlink ref="Y37" r:id="rId42" display="=@sum(P3:P8"/>
    <hyperlink ref="Z37:AD37" r:id="rId43" display="=@sum(P3:P8"/>
    <hyperlink ref="AH37" r:id="rId44" display="=@sum(P3:P8"/>
    <hyperlink ref="AM31" r:id="rId45" display="=@sum(AH18:AL18)"/>
    <hyperlink ref="AM32:AM37" r:id="rId46" display="=@sum(AH18:AL18)"/>
    <hyperlink ref="AD31" r:id="rId47" display="=@sum(Y17:AD17)"/>
    <hyperlink ref="AD32:AD37" r:id="rId48" display="=@sum(Y17:AD17)"/>
    <hyperlink ref="Y51" r:id="rId49" display="=@sum(P3:P8"/>
    <hyperlink ref="Z51:AD51" r:id="rId50" display="=@sum(P3:P8"/>
    <hyperlink ref="AH51" r:id="rId51" display="=@sum(P3:P8"/>
    <hyperlink ref="AM45" r:id="rId52" display="=@sum(AH18:AL18)"/>
    <hyperlink ref="AM46:AM51" r:id="rId53" display="=@sum(AH18:AL18)"/>
    <hyperlink ref="AD45" r:id="rId54" display="=@sum(Y17:AD17)"/>
    <hyperlink ref="AD46:AD51" r:id="rId55" display="=@sum(Y17:AD17)"/>
    <hyperlink ref="Y66" r:id="rId56" display="=@sum(P3:P8"/>
    <hyperlink ref="Z66:AD66" r:id="rId57" display="=@sum(P3:P8"/>
    <hyperlink ref="AH66" r:id="rId58" display="=@sum(P3:P8"/>
    <hyperlink ref="AM60" r:id="rId59" display="=@sum(AH18:AL18)"/>
    <hyperlink ref="AM61:AM66" r:id="rId60" display="=@sum(AH18:AL18)"/>
    <hyperlink ref="AD60" r:id="rId61" display="=@sum(Y17:AD17)"/>
    <hyperlink ref="AD61:AD66" r:id="rId62" display="=@sum(Y17:AD17)"/>
    <hyperlink ref="Y80" r:id="rId63" display="=@sum(P3:P8"/>
    <hyperlink ref="Z80:AD80" r:id="rId64" display="=@sum(P3:P8"/>
    <hyperlink ref="AH80" r:id="rId65" display="=@sum(P3:P8"/>
    <hyperlink ref="AM74" r:id="rId66" display="=@sum(AH18:AL18)"/>
    <hyperlink ref="AM75:AM80" r:id="rId67" display="=@sum(AH18:AL18)"/>
    <hyperlink ref="AD75:AD80" r:id="rId68" display="=@sum(Y17:AD17)"/>
    <hyperlink ref="AD74" r:id="rId69" display="=@sum(Y17:AD17)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7"/>
  <sheetViews>
    <sheetView topLeftCell="H1" workbookViewId="0">
      <selection activeCell="V59" sqref="V59"/>
    </sheetView>
  </sheetViews>
  <sheetFormatPr defaultRowHeight="14.4" x14ac:dyDescent="0.3"/>
  <cols>
    <col min="22" max="22" width="14.44140625" customWidth="1"/>
    <col min="23" max="23" width="6.5546875" customWidth="1"/>
    <col min="24" max="26" width="3" customWidth="1"/>
    <col min="27" max="27" width="11" customWidth="1"/>
    <col min="28" max="28" width="10.88671875" customWidth="1"/>
    <col min="29" max="29" width="10.77734375" customWidth="1"/>
    <col min="30" max="31" width="4" customWidth="1"/>
    <col min="32" max="32" width="6.6640625" customWidth="1"/>
    <col min="33" max="36" width="4" customWidth="1"/>
    <col min="37" max="37" width="6.6640625" customWidth="1"/>
    <col min="38" max="39" width="4" customWidth="1"/>
    <col min="40" max="40" width="6.6640625" customWidth="1"/>
    <col min="41" max="41" width="10.77734375" customWidth="1"/>
    <col min="42" max="44" width="14.44140625" customWidth="1"/>
    <col min="45" max="48" width="15.88671875" customWidth="1"/>
    <col min="49" max="54" width="14.44140625" customWidth="1"/>
    <col min="55" max="56" width="15.88671875" customWidth="1"/>
    <col min="57" max="64" width="14.44140625" customWidth="1"/>
    <col min="65" max="66" width="15.88671875" customWidth="1"/>
    <col min="67" max="72" width="14.44140625" customWidth="1"/>
    <col min="73" max="76" width="15.88671875" customWidth="1"/>
    <col min="77" max="78" width="14.44140625" customWidth="1"/>
    <col min="79" max="80" width="15.88671875" customWidth="1"/>
    <col min="81" max="86" width="14.44140625" customWidth="1"/>
    <col min="87" max="88" width="15.88671875" customWidth="1"/>
    <col min="89" max="94" width="14.44140625" customWidth="1"/>
    <col min="95" max="96" width="15.88671875" customWidth="1"/>
    <col min="97" max="100" width="14.44140625" customWidth="1"/>
    <col min="101" max="104" width="15.88671875" customWidth="1"/>
    <col min="105" max="110" width="14.44140625" customWidth="1"/>
    <col min="111" max="112" width="15.88671875" customWidth="1"/>
    <col min="113" max="118" width="14.44140625" customWidth="1"/>
    <col min="119" max="122" width="15.88671875" customWidth="1"/>
    <col min="123" max="124" width="19.21875" customWidth="1"/>
    <col min="125" max="130" width="14.44140625" customWidth="1"/>
    <col min="131" max="133" width="15.88671875" customWidth="1"/>
    <col min="134" max="142" width="14.44140625" customWidth="1"/>
    <col min="143" max="148" width="15.88671875" customWidth="1"/>
    <col min="149" max="151" width="14.44140625" customWidth="1"/>
    <col min="152" max="154" width="15.88671875" customWidth="1"/>
    <col min="155" max="157" width="14.44140625" customWidth="1"/>
    <col min="158" max="160" width="15.88671875" customWidth="1"/>
    <col min="161" max="166" width="14.44140625" customWidth="1"/>
    <col min="167" max="169" width="15.88671875" customWidth="1"/>
    <col min="170" max="175" width="14.44140625" customWidth="1"/>
    <col min="176" max="181" width="15.88671875" customWidth="1"/>
    <col min="182" max="184" width="14.44140625" customWidth="1"/>
    <col min="185" max="190" width="21" customWidth="1"/>
    <col min="191" max="193" width="19.21875" customWidth="1"/>
    <col min="194" max="199" width="15.88671875" customWidth="1"/>
    <col min="200" max="202" width="14.44140625" customWidth="1"/>
    <col min="203" max="211" width="15.88671875" customWidth="1"/>
    <col min="212" max="214" width="14.44140625" customWidth="1"/>
    <col min="215" max="220" width="15.88671875" customWidth="1"/>
    <col min="221" max="223" width="14.44140625" customWidth="1"/>
    <col min="224" max="226" width="15.88671875" customWidth="1"/>
    <col min="227" max="232" width="14.44140625" customWidth="1"/>
    <col min="233" max="235" width="15.88671875" customWidth="1"/>
    <col min="236" max="244" width="14.44140625" customWidth="1"/>
    <col min="245" max="247" width="15.88671875" customWidth="1"/>
    <col min="248" max="253" width="14.44140625" customWidth="1"/>
    <col min="254" max="259" width="15.88671875" customWidth="1"/>
    <col min="260" max="262" width="14.44140625" customWidth="1"/>
    <col min="263" max="265" width="15.88671875" customWidth="1"/>
    <col min="266" max="271" width="14.44140625" customWidth="1"/>
    <col min="272" max="274" width="15.88671875" customWidth="1"/>
    <col min="275" max="280" width="14.44140625" customWidth="1"/>
    <col min="281" max="286" width="15.88671875" customWidth="1"/>
    <col min="287" max="289" width="14.44140625" customWidth="1"/>
    <col min="290" max="292" width="15.88671875" customWidth="1"/>
    <col min="293" max="298" width="14.44140625" customWidth="1"/>
    <col min="299" max="301" width="15.88671875" customWidth="1"/>
    <col min="302" max="307" width="14.44140625" customWidth="1"/>
    <col min="308" max="313" width="15.88671875" customWidth="1"/>
    <col min="314" max="316" width="14.44140625" customWidth="1"/>
    <col min="317" max="325" width="15.88671875" customWidth="1"/>
    <col min="326" max="334" width="14.44140625" customWidth="1"/>
    <col min="335" max="337" width="15.88671875" customWidth="1"/>
    <col min="338" max="340" width="14.44140625" customWidth="1"/>
    <col min="341" max="346" width="15.88671875" customWidth="1"/>
    <col min="347" max="352" width="14.44140625" customWidth="1"/>
    <col min="353" max="355" width="15.88671875" customWidth="1"/>
    <col min="356" max="358" width="14.44140625" customWidth="1"/>
    <col min="359" max="364" width="15.88671875" customWidth="1"/>
    <col min="365" max="367" width="14.44140625" customWidth="1"/>
    <col min="368" max="370" width="15.88671875" customWidth="1"/>
    <col min="371" max="379" width="14.44140625" customWidth="1"/>
    <col min="380" max="388" width="15.88671875" customWidth="1"/>
    <col min="389" max="391" width="14.44140625" customWidth="1"/>
    <col min="392" max="400" width="21" customWidth="1"/>
    <col min="401" max="403" width="19.21875" customWidth="1"/>
    <col min="404" max="409" width="15.88671875" customWidth="1"/>
    <col min="410" max="412" width="14.44140625" customWidth="1"/>
    <col min="413" max="415" width="15.88671875" customWidth="1"/>
    <col min="416" max="418" width="14.44140625" customWidth="1"/>
    <col min="419" max="424" width="15.88671875" customWidth="1"/>
    <col min="425" max="427" width="14.44140625" customWidth="1"/>
    <col min="428" max="430" width="15.88671875" customWidth="1"/>
    <col min="431" max="433" width="14.44140625" customWidth="1"/>
    <col min="434" max="437" width="15.88671875" customWidth="1"/>
    <col min="438" max="438" width="15.88671875" bestFit="1" customWidth="1"/>
    <col min="439" max="442" width="15.88671875" customWidth="1"/>
    <col min="443" max="445" width="14.44140625" customWidth="1"/>
    <col min="446" max="448" width="15.88671875" customWidth="1"/>
    <col min="449" max="454" width="14.44140625" customWidth="1"/>
    <col min="455" max="457" width="15.88671875" customWidth="1"/>
    <col min="458" max="463" width="14.44140625" customWidth="1"/>
    <col min="464" max="469" width="15.88671875" customWidth="1"/>
    <col min="470" max="475" width="14.44140625" customWidth="1"/>
    <col min="476" max="478" width="15.88671875" customWidth="1"/>
    <col min="479" max="484" width="14.44140625" customWidth="1"/>
    <col min="485" max="490" width="15.88671875" customWidth="1"/>
    <col min="491" max="496" width="14.44140625" customWidth="1"/>
    <col min="497" max="499" width="15.88671875" customWidth="1"/>
    <col min="500" max="505" width="14.44140625" customWidth="1"/>
    <col min="506" max="511" width="15.88671875" customWidth="1"/>
    <col min="512" max="514" width="14.44140625" customWidth="1"/>
    <col min="515" max="523" width="15.88671875" customWidth="1"/>
    <col min="524" max="529" width="14.44140625" customWidth="1"/>
    <col min="530" max="532" width="15.88671875" customWidth="1"/>
    <col min="533" max="538" width="14.44140625" customWidth="1"/>
    <col min="539" max="540" width="15.88671875" customWidth="1"/>
    <col min="541" max="541" width="15.88671875" bestFit="1" customWidth="1"/>
    <col min="542" max="544" width="15.88671875" customWidth="1"/>
    <col min="545" max="547" width="14.44140625" customWidth="1"/>
    <col min="548" max="553" width="15.88671875" customWidth="1"/>
    <col min="554" max="556" width="14.44140625" customWidth="1"/>
    <col min="557" max="568" width="15.88671875" customWidth="1"/>
    <col min="569" max="571" width="14.44140625" customWidth="1"/>
    <col min="572" max="580" width="15.88671875" customWidth="1"/>
    <col min="581" max="583" width="14.44140625" customWidth="1"/>
    <col min="584" max="592" width="15.88671875" customWidth="1"/>
    <col min="593" max="598" width="14.44140625" customWidth="1"/>
    <col min="599" max="601" width="15.88671875" customWidth="1"/>
    <col min="602" max="604" width="14.44140625" customWidth="1"/>
    <col min="605" max="610" width="15.88671875" customWidth="1"/>
    <col min="611" max="616" width="14.44140625" customWidth="1"/>
    <col min="617" max="619" width="15.88671875" customWidth="1"/>
    <col min="620" max="622" width="14.44140625" customWidth="1"/>
    <col min="623" max="628" width="15.88671875" customWidth="1"/>
    <col min="629" max="631" width="14.44140625" customWidth="1"/>
    <col min="632" max="634" width="15.88671875" customWidth="1"/>
    <col min="635" max="637" width="14.44140625" customWidth="1"/>
    <col min="638" max="640" width="15.88671875" customWidth="1"/>
    <col min="641" max="642" width="15.88671875" bestFit="1" customWidth="1"/>
    <col min="643" max="646" width="15.88671875" customWidth="1"/>
    <col min="647" max="652" width="14.44140625" customWidth="1"/>
    <col min="653" max="655" width="15.88671875" customWidth="1"/>
    <col min="656" max="658" width="14.44140625" customWidth="1"/>
    <col min="659" max="661" width="15.88671875" customWidth="1"/>
    <col min="662" max="662" width="15.88671875" bestFit="1" customWidth="1"/>
    <col min="663" max="664" width="15.88671875" customWidth="1"/>
    <col min="665" max="670" width="14.44140625" customWidth="1"/>
    <col min="671" max="676" width="15.88671875" customWidth="1"/>
    <col min="677" max="679" width="14.44140625" customWidth="1"/>
    <col min="680" max="682" width="15.88671875" customWidth="1"/>
    <col min="683" max="691" width="14.44140625" customWidth="1"/>
    <col min="692" max="703" width="15.88671875" customWidth="1"/>
    <col min="704" max="706" width="14.44140625" customWidth="1"/>
    <col min="707" max="718" width="21" customWidth="1"/>
    <col min="719" max="721" width="19.21875" customWidth="1"/>
    <col min="722" max="724" width="14.44140625" customWidth="1"/>
    <col min="725" max="733" width="15.88671875" customWidth="1"/>
    <col min="734" max="736" width="14.44140625" customWidth="1"/>
    <col min="737" max="742" width="15.88671875" customWidth="1"/>
    <col min="743" max="745" width="14.44140625" customWidth="1"/>
    <col min="746" max="757" width="15.88671875" customWidth="1"/>
    <col min="758" max="760" width="14.44140625" customWidth="1"/>
    <col min="761" max="762" width="15.88671875" bestFit="1" customWidth="1"/>
    <col min="763" max="766" width="15.88671875" customWidth="1"/>
    <col min="767" max="767" width="15.88671875" bestFit="1" customWidth="1"/>
    <col min="768" max="769" width="15.88671875" customWidth="1"/>
    <col min="770" max="772" width="14.44140625" customWidth="1"/>
    <col min="773" max="781" width="15.88671875" customWidth="1"/>
    <col min="782" max="784" width="14.44140625" customWidth="1"/>
    <col min="785" max="786" width="15.88671875" bestFit="1" customWidth="1"/>
    <col min="787" max="790" width="15.88671875" customWidth="1"/>
    <col min="791" max="796" width="14.44140625" customWidth="1"/>
    <col min="797" max="799" width="15.88671875" customWidth="1"/>
    <col min="800" max="802" width="14.44140625" customWidth="1"/>
    <col min="803" max="806" width="15.88671875" customWidth="1"/>
    <col min="807" max="807" width="15.88671875" bestFit="1" customWidth="1"/>
    <col min="808" max="808" width="15.88671875" customWidth="1"/>
    <col min="809" max="814" width="14.44140625" customWidth="1"/>
    <col min="815" max="817" width="15.88671875" customWidth="1"/>
    <col min="818" max="820" width="14.44140625" customWidth="1"/>
    <col min="821" max="829" width="15.88671875" customWidth="1"/>
    <col min="830" max="832" width="14.44140625" customWidth="1"/>
    <col min="833" max="835" width="15.88671875" customWidth="1"/>
    <col min="836" max="841" width="14.44140625" customWidth="1"/>
    <col min="842" max="846" width="15.88671875" customWidth="1"/>
    <col min="847" max="847" width="15.88671875" bestFit="1" customWidth="1"/>
    <col min="848" max="850" width="14.44140625" customWidth="1"/>
    <col min="851" max="852" width="15.88671875" customWidth="1"/>
    <col min="853" max="856" width="15.88671875" bestFit="1" customWidth="1"/>
    <col min="857" max="862" width="15.88671875" customWidth="1"/>
    <col min="863" max="865" width="14.44140625" customWidth="1"/>
    <col min="866" max="874" width="15.88671875" customWidth="1"/>
    <col min="875" max="877" width="14.44140625" customWidth="1"/>
    <col min="878" max="883" width="15.88671875" customWidth="1"/>
    <col min="884" max="886" width="14.44140625" customWidth="1"/>
    <col min="887" max="887" width="15.88671875" customWidth="1"/>
    <col min="888" max="889" width="15.88671875" bestFit="1" customWidth="1"/>
    <col min="890" max="892" width="14.44140625" customWidth="1"/>
    <col min="893" max="898" width="15.88671875" bestFit="1" customWidth="1"/>
    <col min="899" max="901" width="14.44140625" customWidth="1"/>
    <col min="902" max="916" width="15.88671875" customWidth="1"/>
    <col min="917" max="919" width="14.44140625" customWidth="1"/>
    <col min="920" max="928" width="15.88671875" customWidth="1"/>
    <col min="929" max="931" width="14.44140625" customWidth="1"/>
    <col min="932" max="934" width="15.88671875" customWidth="1"/>
    <col min="935" max="938" width="15.88671875" bestFit="1" customWidth="1"/>
    <col min="939" max="940" width="15.88671875" customWidth="1"/>
    <col min="941" max="943" width="14.44140625" customWidth="1"/>
    <col min="944" max="955" width="15.88671875" customWidth="1"/>
    <col min="956" max="958" width="14.44140625" customWidth="1"/>
    <col min="959" max="962" width="15.88671875" bestFit="1" customWidth="1"/>
    <col min="963" max="964" width="15.88671875" customWidth="1"/>
    <col min="965" max="967" width="14.44140625" customWidth="1"/>
    <col min="968" max="976" width="15.88671875" customWidth="1"/>
    <col min="977" max="979" width="14.44140625" customWidth="1"/>
    <col min="980" max="990" width="15.88671875" customWidth="1"/>
    <col min="991" max="991" width="15.88671875" bestFit="1" customWidth="1"/>
    <col min="992" max="994" width="14.44140625" customWidth="1"/>
    <col min="995" max="997" width="15.88671875" bestFit="1" customWidth="1"/>
    <col min="998" max="1003" width="15.88671875" customWidth="1"/>
    <col min="1004" max="1006" width="14.44140625" customWidth="1"/>
    <col min="1007" max="1010" width="15.88671875" bestFit="1" customWidth="1"/>
    <col min="1011" max="1015" width="15.88671875" customWidth="1"/>
    <col min="1016" max="1018" width="14.44140625" customWidth="1"/>
    <col min="1019" max="1022" width="15.88671875" customWidth="1"/>
    <col min="1023" max="1026" width="15.88671875" bestFit="1" customWidth="1"/>
    <col min="1027" max="1030" width="15.88671875" customWidth="1"/>
    <col min="1031" max="1033" width="14.44140625" customWidth="1"/>
    <col min="1034" max="1036" width="15.88671875" customWidth="1"/>
    <col min="1037" max="1039" width="14.44140625" customWidth="1"/>
    <col min="1040" max="1042" width="15.88671875" customWidth="1"/>
    <col min="1043" max="1045" width="15.88671875" bestFit="1" customWidth="1"/>
    <col min="1046" max="1048" width="14.44140625" customWidth="1"/>
    <col min="1049" max="1057" width="15.88671875" customWidth="1"/>
    <col min="1058" max="1063" width="14.44140625" customWidth="1"/>
    <col min="1064" max="1067" width="15.88671875" bestFit="1" customWidth="1"/>
    <col min="1068" max="1069" width="15.88671875" customWidth="1"/>
    <col min="1070" max="1072" width="14.44140625" customWidth="1"/>
    <col min="1073" max="1078" width="15.88671875" customWidth="1"/>
    <col min="1079" max="1081" width="14.44140625" customWidth="1"/>
    <col min="1082" max="1093" width="15.88671875" customWidth="1"/>
    <col min="1094" max="1096" width="14.44140625" customWidth="1"/>
    <col min="1097" max="1102" width="15.88671875" customWidth="1"/>
    <col min="1103" max="1105" width="14.44140625" customWidth="1"/>
    <col min="1106" max="1114" width="15.88671875" customWidth="1"/>
    <col min="1115" max="1117" width="14.44140625" customWidth="1"/>
    <col min="1118" max="1123" width="15.88671875" customWidth="1"/>
    <col min="1124" max="1129" width="14.44140625" customWidth="1"/>
    <col min="1130" max="1135" width="15.88671875" customWidth="1"/>
    <col min="1136" max="1138" width="14.44140625" customWidth="1"/>
    <col min="1139" max="1141" width="15.88671875" customWidth="1"/>
    <col min="1142" max="1147" width="14.44140625" customWidth="1"/>
    <col min="1148" max="1150" width="15.88671875" bestFit="1" customWidth="1"/>
    <col min="1151" max="1162" width="15.88671875" customWidth="1"/>
    <col min="1163" max="1165" width="14.44140625" customWidth="1"/>
    <col min="1166" max="1167" width="21" customWidth="1"/>
    <col min="1168" max="1168" width="21" bestFit="1" customWidth="1"/>
    <col min="1169" max="1180" width="21" customWidth="1"/>
    <col min="1181" max="1182" width="19.21875" customWidth="1"/>
    <col min="1183" max="1183" width="19.21875" bestFit="1" customWidth="1"/>
    <col min="1184" max="1187" width="15.88671875" bestFit="1" customWidth="1"/>
    <col min="1188" max="1190" width="15.88671875" customWidth="1"/>
    <col min="1191" max="1194" width="14.44140625" customWidth="1"/>
    <col min="1195" max="1202" width="15.88671875" customWidth="1"/>
    <col min="1203" max="1207" width="15.88671875" bestFit="1" customWidth="1"/>
    <col min="1208" max="1214" width="15.88671875" customWidth="1"/>
    <col min="1215" max="1218" width="14.44140625" customWidth="1"/>
    <col min="1219" max="1227" width="15.88671875" customWidth="1"/>
    <col min="1228" max="1228" width="15.88671875" bestFit="1" customWidth="1"/>
    <col min="1229" max="1230" width="15.88671875" customWidth="1"/>
    <col min="1231" max="1234" width="14.44140625" customWidth="1"/>
    <col min="1235" max="1240" width="15.88671875" customWidth="1"/>
    <col min="1241" max="1242" width="15.88671875" bestFit="1" customWidth="1"/>
    <col min="1243" max="1246" width="15.88671875" customWidth="1"/>
    <col min="1247" max="1250" width="14.44140625" customWidth="1"/>
    <col min="1251" max="1262" width="15.88671875" customWidth="1"/>
    <col min="1263" max="1266" width="15.88671875" bestFit="1" customWidth="1"/>
    <col min="1267" max="1270" width="14.44140625" customWidth="1"/>
    <col min="1271" max="1272" width="15.88671875" customWidth="1"/>
    <col min="1273" max="1276" width="15.88671875" bestFit="1" customWidth="1"/>
    <col min="1277" max="1278" width="15.88671875" customWidth="1"/>
    <col min="1279" max="1282" width="14.44140625" customWidth="1"/>
    <col min="1283" max="1294" width="15.88671875" customWidth="1"/>
    <col min="1295" max="1298" width="14.44140625" customWidth="1"/>
    <col min="1299" max="1300" width="15.88671875" customWidth="1"/>
    <col min="1301" max="1302" width="15.88671875" bestFit="1" customWidth="1"/>
    <col min="1303" max="1314" width="15.88671875" customWidth="1"/>
    <col min="1315" max="1318" width="14.44140625" customWidth="1"/>
    <col min="1319" max="1322" width="15.88671875" customWidth="1"/>
    <col min="1323" max="1330" width="15.88671875" bestFit="1" customWidth="1"/>
    <col min="1331" max="1334" width="14.44140625" customWidth="1"/>
    <col min="1335" max="1337" width="15.88671875" customWidth="1"/>
    <col min="1338" max="1338" width="15.88671875" bestFit="1" customWidth="1"/>
    <col min="1339" max="1342" width="15.88671875" customWidth="1"/>
    <col min="1343" max="1346" width="15.88671875" bestFit="1" customWidth="1"/>
    <col min="1347" max="1350" width="14.44140625" customWidth="1"/>
    <col min="1351" max="1354" width="15.88671875" customWidth="1"/>
    <col min="1355" max="1357" width="15.88671875" bestFit="1" customWidth="1"/>
    <col min="1358" max="1362" width="15.88671875" customWidth="1"/>
    <col min="1363" max="1366" width="15.88671875" bestFit="1" customWidth="1"/>
    <col min="1367" max="1370" width="14.44140625" customWidth="1"/>
    <col min="1371" max="1372" width="15.88671875" customWidth="1"/>
    <col min="1373" max="1374" width="15.88671875" bestFit="1" customWidth="1"/>
    <col min="1375" max="1378" width="14.44140625" customWidth="1"/>
    <col min="1379" max="1386" width="15.88671875" customWidth="1"/>
    <col min="1387" max="1390" width="14.44140625" customWidth="1"/>
    <col min="1391" max="1392" width="15.88671875" customWidth="1"/>
    <col min="1393" max="1396" width="15.88671875" bestFit="1" customWidth="1"/>
    <col min="1397" max="1402" width="15.88671875" customWidth="1"/>
    <col min="1403" max="1410" width="14.44140625" customWidth="1"/>
    <col min="1411" max="1414" width="15.88671875" customWidth="1"/>
    <col min="1415" max="1417" width="15.88671875" bestFit="1" customWidth="1"/>
    <col min="1418" max="1418" width="15.88671875" customWidth="1"/>
    <col min="1419" max="1422" width="14.44140625" customWidth="1"/>
    <col min="1423" max="1427" width="15.88671875" customWidth="1"/>
    <col min="1428" max="1430" width="15.88671875" bestFit="1" customWidth="1"/>
    <col min="1431" max="1434" width="14.44140625" customWidth="1"/>
    <col min="1435" max="1450" width="15.88671875" customWidth="1"/>
    <col min="1451" max="1454" width="14.44140625" customWidth="1"/>
    <col min="1455" max="1462" width="15.88671875" customWidth="1"/>
    <col min="1463" max="1466" width="14.44140625" customWidth="1"/>
    <col min="1467" max="1474" width="15.88671875" customWidth="1"/>
    <col min="1475" max="1478" width="15.88671875" bestFit="1" customWidth="1"/>
    <col min="1479" max="1482" width="14.44140625" customWidth="1"/>
    <col min="1483" max="1490" width="15.88671875" customWidth="1"/>
    <col min="1491" max="1498" width="14.44140625" customWidth="1"/>
    <col min="1499" max="1504" width="15.88671875" bestFit="1" customWidth="1"/>
    <col min="1505" max="1506" width="15.88671875" customWidth="1"/>
    <col min="1507" max="1510" width="14.44140625" customWidth="1"/>
    <col min="1511" max="1512" width="15.88671875" bestFit="1" customWidth="1"/>
    <col min="1513" max="1514" width="15.88671875" customWidth="1"/>
    <col min="1515" max="1522" width="14.44140625" customWidth="1"/>
    <col min="1523" max="1527" width="15.88671875" bestFit="1" customWidth="1"/>
    <col min="1528" max="1537" width="15.88671875" customWidth="1"/>
    <col min="1538" max="1538" width="15.88671875" bestFit="1" customWidth="1"/>
    <col min="1539" max="1542" width="15.88671875" customWidth="1"/>
    <col min="1543" max="1546" width="14.44140625" customWidth="1"/>
    <col min="1547" max="1557" width="21" customWidth="1"/>
    <col min="1558" max="1558" width="21" bestFit="1" customWidth="1"/>
    <col min="1559" max="1566" width="21" customWidth="1"/>
    <col min="1567" max="1570" width="19.21875" customWidth="1"/>
    <col min="1571" max="1576" width="15.88671875" bestFit="1" customWidth="1"/>
    <col min="1577" max="1577" width="15.88671875" customWidth="1"/>
    <col min="1578" max="1582" width="14.44140625" customWidth="1"/>
    <col min="1583" max="1587" width="15.88671875" customWidth="1"/>
    <col min="1588" max="1592" width="15.88671875" bestFit="1" customWidth="1"/>
    <col min="1593" max="1597" width="14.44140625" customWidth="1"/>
    <col min="1598" max="1612" width="15.88671875" customWidth="1"/>
    <col min="1613" max="1617" width="14.44140625" customWidth="1"/>
    <col min="1618" max="1626" width="15.88671875" customWidth="1"/>
    <col min="1627" max="1627" width="15.88671875" bestFit="1" customWidth="1"/>
    <col min="1628" max="1630" width="15.88671875" customWidth="1"/>
    <col min="1631" max="1636" width="15.88671875" bestFit="1" customWidth="1"/>
    <col min="1637" max="1637" width="15.88671875" customWidth="1"/>
    <col min="1638" max="1642" width="14.44140625" customWidth="1"/>
    <col min="1643" max="1647" width="15.88671875" customWidth="1"/>
    <col min="1648" max="1652" width="15.88671875" bestFit="1" customWidth="1"/>
    <col min="1653" max="1657" width="15.88671875" customWidth="1"/>
    <col min="1658" max="1662" width="14.44140625" customWidth="1"/>
    <col min="1663" max="1672" width="15.88671875" bestFit="1" customWidth="1"/>
    <col min="1673" max="1677" width="15.88671875" customWidth="1"/>
    <col min="1678" max="1682" width="14.44140625" customWidth="1"/>
    <col min="1683" max="1687" width="15.88671875" bestFit="1" customWidth="1"/>
    <col min="1688" max="1690" width="15.88671875" customWidth="1"/>
    <col min="1691" max="1696" width="15.88671875" bestFit="1" customWidth="1"/>
    <col min="1697" max="1702" width="15.88671875" customWidth="1"/>
    <col min="1703" max="1707" width="14.44140625" customWidth="1"/>
    <col min="1708" max="1708" width="15.88671875" customWidth="1"/>
    <col min="1709" max="1712" width="15.88671875" bestFit="1" customWidth="1"/>
    <col min="1713" max="1717" width="14.44140625" customWidth="1"/>
    <col min="1718" max="1720" width="15.88671875" bestFit="1" customWidth="1"/>
    <col min="1721" max="1727" width="15.88671875" customWidth="1"/>
    <col min="1728" max="1732" width="14.44140625" customWidth="1"/>
    <col min="1733" max="1747" width="15.88671875" customWidth="1"/>
    <col min="1748" max="1757" width="14.44140625" customWidth="1"/>
    <col min="1758" max="1762" width="15.88671875" customWidth="1"/>
    <col min="1763" max="1767" width="15.88671875" bestFit="1" customWidth="1"/>
    <col min="1768" max="1772" width="14.44140625" customWidth="1"/>
    <col min="1773" max="1774" width="15.88671875" bestFit="1" customWidth="1"/>
    <col min="1775" max="1780" width="15.88671875" customWidth="1"/>
    <col min="1781" max="1782" width="15.88671875" bestFit="1" customWidth="1"/>
    <col min="1783" max="1787" width="14.44140625" customWidth="1"/>
    <col min="1788" max="1792" width="15.88671875" customWidth="1"/>
    <col min="1793" max="1807" width="15.88671875" bestFit="1" customWidth="1"/>
    <col min="1808" max="1812" width="14.44140625" customWidth="1"/>
    <col min="1813" max="1816" width="15.88671875" customWidth="1"/>
    <col min="1817" max="1822" width="15.88671875" bestFit="1" customWidth="1"/>
    <col min="1823" max="1827" width="14.44140625" customWidth="1"/>
    <col min="1828" max="1828" width="15.88671875" bestFit="1" customWidth="1"/>
    <col min="1829" max="1840" width="15.88671875" customWidth="1"/>
    <col min="1841" max="1842" width="15.88671875" bestFit="1" customWidth="1"/>
    <col min="1843" max="1847" width="14.44140625" customWidth="1"/>
    <col min="1848" max="1857" width="15.88671875" bestFit="1" customWidth="1"/>
    <col min="1858" max="1867" width="14.44140625" customWidth="1"/>
    <col min="1868" max="1877" width="15.88671875" bestFit="1" customWidth="1"/>
    <col min="1878" max="1882" width="14.44140625" customWidth="1"/>
    <col min="1883" max="1887" width="15.88671875" bestFit="1" customWidth="1"/>
    <col min="1888" max="1897" width="14.44140625" customWidth="1"/>
    <col min="1898" max="1900" width="15.88671875" customWidth="1"/>
    <col min="1901" max="1906" width="15.88671875" bestFit="1" customWidth="1"/>
    <col min="1907" max="1912" width="15.88671875" customWidth="1"/>
    <col min="1913" max="1918" width="15.88671875" bestFit="1" customWidth="1"/>
    <col min="1919" max="1922" width="15.88671875" customWidth="1"/>
    <col min="1923" max="1927" width="14.44140625" customWidth="1"/>
    <col min="1928" max="1930" width="21" bestFit="1" customWidth="1"/>
    <col min="1931" max="1936" width="21" customWidth="1"/>
    <col min="1937" max="1942" width="21" bestFit="1" customWidth="1"/>
    <col min="1943" max="1947" width="21" customWidth="1"/>
    <col min="1948" max="1952" width="21" bestFit="1" customWidth="1"/>
    <col min="1953" max="1957" width="19.21875" bestFit="1" customWidth="1"/>
    <col min="1958" max="1960" width="15.88671875" bestFit="1" customWidth="1"/>
    <col min="1961" max="1966" width="14.44140625" customWidth="1"/>
    <col min="1967" max="1972" width="15.88671875" bestFit="1" customWidth="1"/>
    <col min="1973" max="1978" width="15.88671875" customWidth="1"/>
    <col min="1979" max="1984" width="15.88671875" bestFit="1" customWidth="1"/>
    <col min="1985" max="1990" width="14.44140625" customWidth="1"/>
    <col min="1991" max="1992" width="15.88671875" customWidth="1"/>
    <col min="1993" max="1997" width="15.88671875" bestFit="1" customWidth="1"/>
    <col min="1998" max="2008" width="15.88671875" customWidth="1"/>
    <col min="2009" max="2014" width="14.44140625" customWidth="1"/>
    <col min="2015" max="2027" width="15.88671875" customWidth="1"/>
    <col min="2028" max="2038" width="15.88671875" bestFit="1" customWidth="1"/>
    <col min="2039" max="2044" width="14.44140625" customWidth="1"/>
    <col min="2045" max="2050" width="15.88671875" bestFit="1" customWidth="1"/>
    <col min="2051" max="2056" width="14.44140625" customWidth="1"/>
    <col min="2057" max="2068" width="15.88671875" bestFit="1" customWidth="1"/>
    <col min="2069" max="2074" width="14.44140625" bestFit="1" customWidth="1"/>
    <col min="2075" max="2092" width="15.88671875" bestFit="1" customWidth="1"/>
    <col min="2093" max="2098" width="14.44140625" bestFit="1" customWidth="1"/>
    <col min="2099" max="2104" width="14.44140625" customWidth="1"/>
    <col min="2105" max="2116" width="15.88671875" bestFit="1" customWidth="1"/>
    <col min="2117" max="2122" width="14.44140625" customWidth="1"/>
    <col min="2123" max="2134" width="15.88671875" bestFit="1" customWidth="1"/>
    <col min="2135" max="2140" width="14.44140625" bestFit="1" customWidth="1"/>
    <col min="2141" max="2164" width="15.88671875" bestFit="1" customWidth="1"/>
    <col min="2165" max="2170" width="14.44140625" customWidth="1"/>
    <col min="2171" max="2182" width="15.88671875" bestFit="1" customWidth="1"/>
    <col min="2183" max="2188" width="14.44140625" bestFit="1" customWidth="1"/>
    <col min="2189" max="2206" width="15.88671875" bestFit="1" customWidth="1"/>
    <col min="2207" max="2212" width="14.44140625" customWidth="1"/>
    <col min="2213" max="2224" width="15.88671875" bestFit="1" customWidth="1"/>
    <col min="2225" max="2236" width="14.44140625" customWidth="1"/>
    <col min="2237" max="2248" width="15.88671875" bestFit="1" customWidth="1"/>
    <col min="2249" max="2254" width="14.44140625" bestFit="1" customWidth="1"/>
    <col min="2255" max="2260" width="15.88671875" bestFit="1" customWidth="1"/>
    <col min="2261" max="2266" width="14.44140625" customWidth="1"/>
    <col min="2267" max="2272" width="14.44140625" bestFit="1" customWidth="1"/>
    <col min="2273" max="2302" width="15.88671875" bestFit="1" customWidth="1"/>
    <col min="2303" max="2308" width="14.44140625" customWidth="1"/>
    <col min="2309" max="2338" width="21" bestFit="1" customWidth="1"/>
    <col min="2339" max="2344" width="19.21875" bestFit="1" customWidth="1"/>
    <col min="2345" max="2356" width="14.44140625" bestFit="1" customWidth="1"/>
    <col min="2357" max="2386" width="15.88671875" bestFit="1" customWidth="1"/>
    <col min="2387" max="2392" width="14.44140625" bestFit="1" customWidth="1"/>
    <col min="2393" max="2422" width="21" bestFit="1" customWidth="1"/>
    <col min="2423" max="2428" width="19.21875" bestFit="1" customWidth="1"/>
  </cols>
  <sheetData>
    <row r="1" spans="1:28" x14ac:dyDescent="0.3">
      <c r="A1" s="62" t="s">
        <v>96</v>
      </c>
      <c r="B1" s="62" t="s">
        <v>4</v>
      </c>
      <c r="C1" s="62" t="s">
        <v>5</v>
      </c>
      <c r="D1" s="62" t="s">
        <v>6</v>
      </c>
      <c r="E1" s="62" t="s">
        <v>7</v>
      </c>
      <c r="F1" s="62" t="s">
        <v>134</v>
      </c>
      <c r="G1" s="62" t="s">
        <v>140</v>
      </c>
      <c r="H1" s="62" t="s">
        <v>141</v>
      </c>
      <c r="I1" s="62" t="s">
        <v>136</v>
      </c>
      <c r="J1" s="62" t="s">
        <v>137</v>
      </c>
      <c r="K1" s="62" t="s">
        <v>138</v>
      </c>
      <c r="L1" s="62" t="s">
        <v>139</v>
      </c>
      <c r="N1" s="62" t="s">
        <v>96</v>
      </c>
      <c r="O1" s="62" t="s">
        <v>140</v>
      </c>
      <c r="P1" s="62" t="s">
        <v>141</v>
      </c>
      <c r="Q1" s="62" t="s">
        <v>136</v>
      </c>
      <c r="R1" s="62" t="s">
        <v>137</v>
      </c>
      <c r="S1" s="62" t="s">
        <v>138</v>
      </c>
      <c r="T1" s="62" t="s">
        <v>139</v>
      </c>
    </row>
    <row r="2" spans="1:28" x14ac:dyDescent="0.3">
      <c r="A2">
        <v>3</v>
      </c>
      <c r="B2">
        <v>2</v>
      </c>
      <c r="C2">
        <v>2</v>
      </c>
      <c r="D2">
        <v>2</v>
      </c>
      <c r="E2">
        <v>2</v>
      </c>
      <c r="F2">
        <v>3</v>
      </c>
      <c r="G2">
        <v>3</v>
      </c>
      <c r="H2">
        <v>5</v>
      </c>
      <c r="I2">
        <v>4</v>
      </c>
      <c r="J2">
        <v>3</v>
      </c>
      <c r="K2">
        <v>4</v>
      </c>
      <c r="L2">
        <v>2</v>
      </c>
      <c r="N2">
        <v>3</v>
      </c>
      <c r="O2">
        <v>3</v>
      </c>
      <c r="P2">
        <v>5</v>
      </c>
      <c r="Q2">
        <v>4</v>
      </c>
      <c r="R2">
        <v>3</v>
      </c>
      <c r="S2">
        <v>4</v>
      </c>
      <c r="T2">
        <v>2</v>
      </c>
    </row>
    <row r="3" spans="1:28" x14ac:dyDescent="0.3">
      <c r="A3">
        <v>5</v>
      </c>
      <c r="B3">
        <v>2</v>
      </c>
      <c r="C3">
        <v>3</v>
      </c>
      <c r="D3">
        <v>5</v>
      </c>
      <c r="E3">
        <v>4</v>
      </c>
      <c r="F3">
        <v>2</v>
      </c>
      <c r="G3">
        <v>3</v>
      </c>
      <c r="H3">
        <v>5</v>
      </c>
      <c r="I3">
        <v>4</v>
      </c>
      <c r="J3">
        <v>3</v>
      </c>
      <c r="K3">
        <v>4</v>
      </c>
      <c r="L3">
        <v>3</v>
      </c>
      <c r="N3">
        <v>5</v>
      </c>
      <c r="O3">
        <v>3</v>
      </c>
      <c r="P3">
        <v>5</v>
      </c>
      <c r="Q3">
        <v>4</v>
      </c>
      <c r="R3">
        <v>3</v>
      </c>
      <c r="S3">
        <v>4</v>
      </c>
      <c r="T3">
        <v>3</v>
      </c>
    </row>
    <row r="4" spans="1:28" x14ac:dyDescent="0.3">
      <c r="A4">
        <v>3</v>
      </c>
      <c r="B4">
        <v>2</v>
      </c>
      <c r="C4">
        <v>2</v>
      </c>
      <c r="D4">
        <v>3</v>
      </c>
      <c r="E4">
        <v>2</v>
      </c>
      <c r="F4">
        <v>2</v>
      </c>
      <c r="G4">
        <v>2</v>
      </c>
      <c r="H4">
        <v>3</v>
      </c>
      <c r="I4">
        <v>4</v>
      </c>
      <c r="J4">
        <v>3</v>
      </c>
      <c r="K4">
        <v>4</v>
      </c>
      <c r="L4">
        <v>2</v>
      </c>
      <c r="N4">
        <v>3</v>
      </c>
      <c r="O4">
        <v>2</v>
      </c>
      <c r="P4">
        <v>3</v>
      </c>
      <c r="Q4">
        <v>4</v>
      </c>
      <c r="R4">
        <v>3</v>
      </c>
      <c r="S4">
        <v>4</v>
      </c>
      <c r="T4">
        <v>2</v>
      </c>
    </row>
    <row r="5" spans="1:28" x14ac:dyDescent="0.3">
      <c r="A5">
        <v>5</v>
      </c>
      <c r="B5">
        <v>2</v>
      </c>
      <c r="C5">
        <v>3</v>
      </c>
      <c r="D5">
        <v>5</v>
      </c>
      <c r="E5">
        <v>4</v>
      </c>
      <c r="F5">
        <v>2</v>
      </c>
      <c r="G5">
        <v>3</v>
      </c>
      <c r="H5">
        <v>3</v>
      </c>
      <c r="I5">
        <v>5</v>
      </c>
      <c r="J5">
        <v>3</v>
      </c>
      <c r="K5">
        <v>3</v>
      </c>
      <c r="L5">
        <v>3</v>
      </c>
      <c r="N5">
        <v>5</v>
      </c>
      <c r="O5">
        <v>3</v>
      </c>
      <c r="P5">
        <v>3</v>
      </c>
      <c r="Q5">
        <v>5</v>
      </c>
      <c r="R5">
        <v>3</v>
      </c>
      <c r="S5">
        <v>3</v>
      </c>
      <c r="T5">
        <v>3</v>
      </c>
      <c r="V5" s="64" t="s">
        <v>267</v>
      </c>
      <c r="W5" s="64" t="s">
        <v>140</v>
      </c>
    </row>
    <row r="6" spans="1:28" x14ac:dyDescent="0.3">
      <c r="A6">
        <v>5</v>
      </c>
      <c r="B6">
        <v>2</v>
      </c>
      <c r="C6">
        <v>3</v>
      </c>
      <c r="D6">
        <v>5</v>
      </c>
      <c r="E6">
        <v>4</v>
      </c>
      <c r="F6">
        <v>1</v>
      </c>
      <c r="G6">
        <v>3</v>
      </c>
      <c r="H6">
        <v>4</v>
      </c>
      <c r="I6">
        <v>3</v>
      </c>
      <c r="J6">
        <v>3</v>
      </c>
      <c r="K6">
        <v>3</v>
      </c>
      <c r="L6">
        <v>3</v>
      </c>
      <c r="N6">
        <v>5</v>
      </c>
      <c r="O6">
        <v>3</v>
      </c>
      <c r="P6">
        <v>4</v>
      </c>
      <c r="Q6">
        <v>3</v>
      </c>
      <c r="R6">
        <v>3</v>
      </c>
      <c r="S6">
        <v>3</v>
      </c>
      <c r="T6">
        <v>3</v>
      </c>
      <c r="V6" s="64" t="s">
        <v>96</v>
      </c>
      <c r="W6">
        <v>1</v>
      </c>
      <c r="X6">
        <v>2</v>
      </c>
      <c r="Y6">
        <v>3</v>
      </c>
      <c r="Z6">
        <v>4</v>
      </c>
      <c r="AA6">
        <v>5</v>
      </c>
      <c r="AB6" t="s">
        <v>266</v>
      </c>
    </row>
    <row r="7" spans="1:28" x14ac:dyDescent="0.3">
      <c r="A7">
        <v>3</v>
      </c>
      <c r="B7">
        <v>2</v>
      </c>
      <c r="C7">
        <v>2</v>
      </c>
      <c r="D7">
        <v>2</v>
      </c>
      <c r="E7">
        <v>2</v>
      </c>
      <c r="F7">
        <v>2</v>
      </c>
      <c r="G7">
        <v>3</v>
      </c>
      <c r="H7">
        <v>4</v>
      </c>
      <c r="I7">
        <v>5</v>
      </c>
      <c r="J7">
        <v>5</v>
      </c>
      <c r="K7">
        <v>2</v>
      </c>
      <c r="L7">
        <v>3</v>
      </c>
      <c r="N7">
        <v>3</v>
      </c>
      <c r="O7">
        <v>3</v>
      </c>
      <c r="P7">
        <v>4</v>
      </c>
      <c r="Q7">
        <v>5</v>
      </c>
      <c r="R7">
        <v>5</v>
      </c>
      <c r="S7">
        <v>2</v>
      </c>
      <c r="T7">
        <v>3</v>
      </c>
      <c r="V7">
        <v>2</v>
      </c>
      <c r="W7" s="65"/>
      <c r="X7" s="65">
        <v>2</v>
      </c>
      <c r="Y7" s="65">
        <v>9</v>
      </c>
      <c r="Z7" s="65">
        <v>10</v>
      </c>
      <c r="AA7" s="65">
        <v>3</v>
      </c>
      <c r="AB7" s="65">
        <v>24</v>
      </c>
    </row>
    <row r="8" spans="1:28" x14ac:dyDescent="0.3">
      <c r="A8">
        <v>5</v>
      </c>
      <c r="B8">
        <v>2</v>
      </c>
      <c r="C8">
        <v>2</v>
      </c>
      <c r="D8">
        <v>5</v>
      </c>
      <c r="E8">
        <v>2</v>
      </c>
      <c r="F8">
        <v>2</v>
      </c>
      <c r="G8">
        <v>4</v>
      </c>
      <c r="H8">
        <v>4</v>
      </c>
      <c r="I8">
        <v>5</v>
      </c>
      <c r="J8">
        <v>4</v>
      </c>
      <c r="K8">
        <v>4</v>
      </c>
      <c r="L8">
        <v>5</v>
      </c>
      <c r="N8">
        <v>5</v>
      </c>
      <c r="O8">
        <v>4</v>
      </c>
      <c r="P8">
        <v>4</v>
      </c>
      <c r="Q8">
        <v>5</v>
      </c>
      <c r="R8">
        <v>4</v>
      </c>
      <c r="S8">
        <v>4</v>
      </c>
      <c r="T8">
        <v>5</v>
      </c>
      <c r="V8">
        <v>3</v>
      </c>
      <c r="W8" s="65">
        <v>2</v>
      </c>
      <c r="X8" s="65">
        <v>7</v>
      </c>
      <c r="Y8" s="65">
        <v>15</v>
      </c>
      <c r="Z8" s="65">
        <v>13</v>
      </c>
      <c r="AA8" s="65">
        <v>8</v>
      </c>
      <c r="AB8" s="65">
        <v>45</v>
      </c>
    </row>
    <row r="9" spans="1:28" x14ac:dyDescent="0.3">
      <c r="A9">
        <v>6</v>
      </c>
      <c r="B9">
        <v>2</v>
      </c>
      <c r="C9">
        <v>2</v>
      </c>
      <c r="D9">
        <v>5</v>
      </c>
      <c r="E9">
        <v>3</v>
      </c>
      <c r="F9">
        <v>2</v>
      </c>
      <c r="G9">
        <v>4</v>
      </c>
      <c r="H9">
        <v>4</v>
      </c>
      <c r="I9">
        <v>5</v>
      </c>
      <c r="J9">
        <v>3</v>
      </c>
      <c r="K9">
        <v>4</v>
      </c>
      <c r="L9">
        <v>3</v>
      </c>
      <c r="N9">
        <v>6</v>
      </c>
      <c r="O9">
        <v>4</v>
      </c>
      <c r="P9">
        <v>4</v>
      </c>
      <c r="Q9">
        <v>5</v>
      </c>
      <c r="R9">
        <v>3</v>
      </c>
      <c r="S9">
        <v>4</v>
      </c>
      <c r="T9">
        <v>3</v>
      </c>
      <c r="V9">
        <v>4</v>
      </c>
      <c r="W9" s="65">
        <v>1</v>
      </c>
      <c r="X9" s="65">
        <v>3</v>
      </c>
      <c r="Y9" s="65">
        <v>9</v>
      </c>
      <c r="Z9" s="65">
        <v>5</v>
      </c>
      <c r="AA9" s="65">
        <v>4</v>
      </c>
      <c r="AB9" s="65">
        <v>22</v>
      </c>
    </row>
    <row r="10" spans="1:28" x14ac:dyDescent="0.3">
      <c r="A10">
        <v>6</v>
      </c>
      <c r="B10">
        <v>2</v>
      </c>
      <c r="C10">
        <v>1</v>
      </c>
      <c r="D10">
        <v>5</v>
      </c>
      <c r="E10">
        <v>2</v>
      </c>
      <c r="F10">
        <v>1</v>
      </c>
      <c r="G10">
        <v>4</v>
      </c>
      <c r="H10">
        <v>3</v>
      </c>
      <c r="I10">
        <v>4</v>
      </c>
      <c r="J10">
        <v>2</v>
      </c>
      <c r="K10">
        <v>4</v>
      </c>
      <c r="L10">
        <v>3</v>
      </c>
      <c r="N10">
        <v>6</v>
      </c>
      <c r="O10">
        <v>4</v>
      </c>
      <c r="P10">
        <v>3</v>
      </c>
      <c r="Q10">
        <v>4</v>
      </c>
      <c r="R10">
        <v>2</v>
      </c>
      <c r="S10">
        <v>4</v>
      </c>
      <c r="T10">
        <v>3</v>
      </c>
      <c r="V10">
        <v>5</v>
      </c>
      <c r="W10" s="65"/>
      <c r="X10" s="65">
        <v>2</v>
      </c>
      <c r="Y10" s="65">
        <v>10</v>
      </c>
      <c r="Z10" s="65">
        <v>16</v>
      </c>
      <c r="AA10" s="65">
        <v>7</v>
      </c>
      <c r="AB10" s="65">
        <v>35</v>
      </c>
    </row>
    <row r="11" spans="1:28" x14ac:dyDescent="0.3">
      <c r="A11">
        <v>5</v>
      </c>
      <c r="B11">
        <v>2</v>
      </c>
      <c r="C11">
        <v>2</v>
      </c>
      <c r="D11">
        <v>5</v>
      </c>
      <c r="E11">
        <v>4</v>
      </c>
      <c r="F11">
        <v>2</v>
      </c>
      <c r="G11">
        <v>3</v>
      </c>
      <c r="H11">
        <v>4</v>
      </c>
      <c r="I11">
        <v>4</v>
      </c>
      <c r="J11">
        <v>3</v>
      </c>
      <c r="K11">
        <v>4</v>
      </c>
      <c r="L11">
        <v>4</v>
      </c>
      <c r="N11">
        <v>5</v>
      </c>
      <c r="O11">
        <v>3</v>
      </c>
      <c r="P11">
        <v>4</v>
      </c>
      <c r="Q11">
        <v>4</v>
      </c>
      <c r="R11">
        <v>3</v>
      </c>
      <c r="S11">
        <v>4</v>
      </c>
      <c r="T11">
        <v>4</v>
      </c>
      <c r="V11">
        <v>6</v>
      </c>
      <c r="W11" s="65"/>
      <c r="X11" s="65">
        <v>1</v>
      </c>
      <c r="Y11" s="65">
        <v>1</v>
      </c>
      <c r="Z11" s="65">
        <v>5</v>
      </c>
      <c r="AA11" s="65">
        <v>3</v>
      </c>
      <c r="AB11" s="65">
        <v>10</v>
      </c>
    </row>
    <row r="12" spans="1:28" x14ac:dyDescent="0.3">
      <c r="A12">
        <v>3</v>
      </c>
      <c r="B12">
        <v>2</v>
      </c>
      <c r="C12">
        <v>2</v>
      </c>
      <c r="D12">
        <v>3</v>
      </c>
      <c r="E12">
        <v>2</v>
      </c>
      <c r="F12">
        <v>2</v>
      </c>
      <c r="G12">
        <v>4</v>
      </c>
      <c r="H12">
        <v>5</v>
      </c>
      <c r="I12">
        <v>4</v>
      </c>
      <c r="J12">
        <v>4</v>
      </c>
      <c r="K12">
        <v>4</v>
      </c>
      <c r="L12">
        <v>5</v>
      </c>
      <c r="N12">
        <v>3</v>
      </c>
      <c r="O12">
        <v>4</v>
      </c>
      <c r="P12">
        <v>5</v>
      </c>
      <c r="Q12">
        <v>4</v>
      </c>
      <c r="R12">
        <v>4</v>
      </c>
      <c r="S12">
        <v>4</v>
      </c>
      <c r="T12">
        <v>5</v>
      </c>
      <c r="V12" t="s">
        <v>266</v>
      </c>
      <c r="W12" s="65">
        <v>3</v>
      </c>
      <c r="X12" s="65">
        <v>15</v>
      </c>
      <c r="Y12" s="65">
        <v>44</v>
      </c>
      <c r="Z12" s="65">
        <v>49</v>
      </c>
      <c r="AA12" s="65">
        <v>25</v>
      </c>
      <c r="AB12" s="65">
        <v>136</v>
      </c>
    </row>
    <row r="13" spans="1:28" x14ac:dyDescent="0.3">
      <c r="A13">
        <v>4</v>
      </c>
      <c r="B13">
        <v>2</v>
      </c>
      <c r="C13">
        <v>1</v>
      </c>
      <c r="D13">
        <v>2</v>
      </c>
      <c r="E13">
        <v>1</v>
      </c>
      <c r="F13">
        <v>3</v>
      </c>
      <c r="G13">
        <v>5</v>
      </c>
      <c r="H13">
        <v>5</v>
      </c>
      <c r="I13">
        <v>5</v>
      </c>
      <c r="J13">
        <v>3</v>
      </c>
      <c r="K13">
        <v>5</v>
      </c>
      <c r="L13">
        <v>2</v>
      </c>
      <c r="N13">
        <v>4</v>
      </c>
      <c r="O13">
        <v>5</v>
      </c>
      <c r="P13">
        <v>5</v>
      </c>
      <c r="Q13">
        <v>5</v>
      </c>
      <c r="R13">
        <v>3</v>
      </c>
      <c r="S13">
        <v>5</v>
      </c>
      <c r="T13">
        <v>2</v>
      </c>
    </row>
    <row r="14" spans="1:28" x14ac:dyDescent="0.3">
      <c r="A14">
        <v>4</v>
      </c>
      <c r="B14">
        <v>2</v>
      </c>
      <c r="C14">
        <v>2</v>
      </c>
      <c r="D14">
        <v>2</v>
      </c>
      <c r="E14">
        <v>3</v>
      </c>
      <c r="F14">
        <v>2</v>
      </c>
      <c r="G14">
        <v>5</v>
      </c>
      <c r="H14">
        <v>5</v>
      </c>
      <c r="I14">
        <v>4</v>
      </c>
      <c r="J14">
        <v>4</v>
      </c>
      <c r="K14">
        <v>3</v>
      </c>
      <c r="L14">
        <v>3</v>
      </c>
      <c r="N14">
        <v>4</v>
      </c>
      <c r="O14">
        <v>5</v>
      </c>
      <c r="P14">
        <v>5</v>
      </c>
      <c r="Q14">
        <v>4</v>
      </c>
      <c r="R14">
        <v>4</v>
      </c>
      <c r="S14">
        <v>3</v>
      </c>
      <c r="T14">
        <v>3</v>
      </c>
    </row>
    <row r="15" spans="1:28" x14ac:dyDescent="0.3">
      <c r="A15">
        <v>4</v>
      </c>
      <c r="B15">
        <v>2</v>
      </c>
      <c r="C15">
        <v>1</v>
      </c>
      <c r="D15">
        <v>1</v>
      </c>
      <c r="E15">
        <v>1</v>
      </c>
      <c r="F15">
        <v>2</v>
      </c>
      <c r="G15">
        <v>3</v>
      </c>
      <c r="H15">
        <v>2</v>
      </c>
      <c r="I15">
        <v>4</v>
      </c>
      <c r="J15">
        <v>2</v>
      </c>
      <c r="K15">
        <v>3</v>
      </c>
      <c r="L15">
        <v>2</v>
      </c>
      <c r="N15">
        <v>4</v>
      </c>
      <c r="O15">
        <v>3</v>
      </c>
      <c r="P15">
        <v>2</v>
      </c>
      <c r="Q15">
        <v>4</v>
      </c>
      <c r="R15">
        <v>2</v>
      </c>
      <c r="S15">
        <v>3</v>
      </c>
      <c r="T15">
        <v>2</v>
      </c>
      <c r="V15" s="64" t="s">
        <v>268</v>
      </c>
      <c r="W15" s="64" t="s">
        <v>318</v>
      </c>
    </row>
    <row r="16" spans="1:28" x14ac:dyDescent="0.3">
      <c r="A16">
        <v>5</v>
      </c>
      <c r="B16">
        <v>2</v>
      </c>
      <c r="C16">
        <v>1</v>
      </c>
      <c r="D16">
        <v>5</v>
      </c>
      <c r="E16">
        <v>1</v>
      </c>
      <c r="F16">
        <v>2</v>
      </c>
      <c r="G16">
        <v>3</v>
      </c>
      <c r="H16">
        <v>5</v>
      </c>
      <c r="I16">
        <v>4</v>
      </c>
      <c r="J16">
        <v>3</v>
      </c>
      <c r="K16">
        <v>4</v>
      </c>
      <c r="L16">
        <v>2</v>
      </c>
      <c r="N16">
        <v>5</v>
      </c>
      <c r="O16">
        <v>3</v>
      </c>
      <c r="P16">
        <v>5</v>
      </c>
      <c r="Q16">
        <v>4</v>
      </c>
      <c r="R16">
        <v>3</v>
      </c>
      <c r="S16">
        <v>4</v>
      </c>
      <c r="T16">
        <v>2</v>
      </c>
      <c r="V16" s="64" t="s">
        <v>317</v>
      </c>
      <c r="W16">
        <v>1</v>
      </c>
      <c r="X16">
        <v>2</v>
      </c>
      <c r="Y16">
        <v>3</v>
      </c>
      <c r="Z16">
        <v>4</v>
      </c>
      <c r="AA16">
        <v>5</v>
      </c>
      <c r="AB16" t="s">
        <v>266</v>
      </c>
    </row>
    <row r="17" spans="1:28" x14ac:dyDescent="0.3">
      <c r="A17">
        <v>3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  <c r="I17">
        <v>4</v>
      </c>
      <c r="J17">
        <v>2</v>
      </c>
      <c r="K17">
        <v>2</v>
      </c>
      <c r="L17">
        <v>2</v>
      </c>
      <c r="N17">
        <v>3</v>
      </c>
      <c r="O17">
        <v>3</v>
      </c>
      <c r="P17">
        <v>3</v>
      </c>
      <c r="Q17">
        <v>4</v>
      </c>
      <c r="R17">
        <v>2</v>
      </c>
      <c r="S17">
        <v>2</v>
      </c>
      <c r="T17">
        <v>2</v>
      </c>
      <c r="V17" s="82">
        <v>2</v>
      </c>
      <c r="W17" s="65"/>
      <c r="X17" s="65">
        <v>1</v>
      </c>
      <c r="Y17" s="65">
        <v>2</v>
      </c>
      <c r="Z17" s="65">
        <v>9</v>
      </c>
      <c r="AA17" s="65">
        <v>12</v>
      </c>
      <c r="AB17" s="65">
        <v>24</v>
      </c>
    </row>
    <row r="18" spans="1:28" x14ac:dyDescent="0.3">
      <c r="A18">
        <v>5</v>
      </c>
      <c r="B18">
        <v>2</v>
      </c>
      <c r="C18">
        <v>2</v>
      </c>
      <c r="D18">
        <v>4</v>
      </c>
      <c r="E18">
        <v>2</v>
      </c>
      <c r="F18">
        <v>1</v>
      </c>
      <c r="G18">
        <v>5</v>
      </c>
      <c r="H18">
        <v>3</v>
      </c>
      <c r="I18">
        <v>4</v>
      </c>
      <c r="J18">
        <v>3</v>
      </c>
      <c r="K18">
        <v>2</v>
      </c>
      <c r="L18">
        <v>1</v>
      </c>
      <c r="N18">
        <v>5</v>
      </c>
      <c r="O18">
        <v>5</v>
      </c>
      <c r="P18">
        <v>3</v>
      </c>
      <c r="Q18">
        <v>4</v>
      </c>
      <c r="R18">
        <v>3</v>
      </c>
      <c r="S18">
        <v>2</v>
      </c>
      <c r="T18">
        <v>1</v>
      </c>
      <c r="V18" s="82">
        <v>3</v>
      </c>
      <c r="W18" s="65"/>
      <c r="X18" s="65">
        <v>3</v>
      </c>
      <c r="Y18" s="65">
        <v>5</v>
      </c>
      <c r="Z18" s="65">
        <v>15</v>
      </c>
      <c r="AA18" s="65">
        <v>22</v>
      </c>
      <c r="AB18" s="65">
        <v>45</v>
      </c>
    </row>
    <row r="19" spans="1:28" x14ac:dyDescent="0.3">
      <c r="A19">
        <v>4</v>
      </c>
      <c r="B19">
        <v>2</v>
      </c>
      <c r="C19">
        <v>3</v>
      </c>
      <c r="D19">
        <v>3</v>
      </c>
      <c r="E19">
        <v>4</v>
      </c>
      <c r="F19">
        <v>2</v>
      </c>
      <c r="G19">
        <v>3</v>
      </c>
      <c r="H19">
        <v>4</v>
      </c>
      <c r="I19">
        <v>5</v>
      </c>
      <c r="J19">
        <v>4</v>
      </c>
      <c r="K19">
        <v>5</v>
      </c>
      <c r="L19">
        <v>4</v>
      </c>
      <c r="N19">
        <v>4</v>
      </c>
      <c r="O19">
        <v>3</v>
      </c>
      <c r="P19">
        <v>4</v>
      </c>
      <c r="Q19">
        <v>5</v>
      </c>
      <c r="R19">
        <v>4</v>
      </c>
      <c r="S19">
        <v>5</v>
      </c>
      <c r="T19">
        <v>4</v>
      </c>
      <c r="V19" s="82">
        <v>4</v>
      </c>
      <c r="W19" s="65">
        <v>1</v>
      </c>
      <c r="X19" s="65">
        <v>2</v>
      </c>
      <c r="Y19" s="65">
        <v>1</v>
      </c>
      <c r="Z19" s="65">
        <v>12</v>
      </c>
      <c r="AA19" s="65">
        <v>6</v>
      </c>
      <c r="AB19" s="65">
        <v>22</v>
      </c>
    </row>
    <row r="20" spans="1:28" x14ac:dyDescent="0.3">
      <c r="A20">
        <v>5</v>
      </c>
      <c r="B20">
        <v>2</v>
      </c>
      <c r="C20">
        <v>3</v>
      </c>
      <c r="D20">
        <v>5</v>
      </c>
      <c r="E20">
        <v>4</v>
      </c>
      <c r="F20">
        <v>2</v>
      </c>
      <c r="G20">
        <v>4</v>
      </c>
      <c r="H20">
        <v>5</v>
      </c>
      <c r="I20">
        <v>4</v>
      </c>
      <c r="J20">
        <v>2</v>
      </c>
      <c r="K20">
        <v>4</v>
      </c>
      <c r="L20">
        <v>2</v>
      </c>
      <c r="N20">
        <v>5</v>
      </c>
      <c r="O20">
        <v>4</v>
      </c>
      <c r="P20">
        <v>5</v>
      </c>
      <c r="Q20">
        <v>4</v>
      </c>
      <c r="R20">
        <v>2</v>
      </c>
      <c r="S20">
        <v>4</v>
      </c>
      <c r="T20">
        <v>2</v>
      </c>
      <c r="V20" s="82">
        <v>5</v>
      </c>
      <c r="W20" s="65"/>
      <c r="X20" s="65">
        <v>1</v>
      </c>
      <c r="Y20" s="65">
        <v>4</v>
      </c>
      <c r="Z20" s="65">
        <v>15</v>
      </c>
      <c r="AA20" s="65">
        <v>15</v>
      </c>
      <c r="AB20" s="65">
        <v>35</v>
      </c>
    </row>
    <row r="21" spans="1:28" x14ac:dyDescent="0.3">
      <c r="A21">
        <v>5</v>
      </c>
      <c r="B21">
        <v>2</v>
      </c>
      <c r="C21">
        <v>1</v>
      </c>
      <c r="D21">
        <v>5</v>
      </c>
      <c r="E21">
        <v>1</v>
      </c>
      <c r="F21">
        <v>2</v>
      </c>
      <c r="G21">
        <v>4</v>
      </c>
      <c r="H21">
        <v>4</v>
      </c>
      <c r="I21">
        <v>5</v>
      </c>
      <c r="J21">
        <v>4</v>
      </c>
      <c r="K21">
        <v>5</v>
      </c>
      <c r="L21">
        <v>3</v>
      </c>
      <c r="N21">
        <v>5</v>
      </c>
      <c r="O21">
        <v>4</v>
      </c>
      <c r="P21">
        <v>4</v>
      </c>
      <c r="Q21">
        <v>5</v>
      </c>
      <c r="R21">
        <v>4</v>
      </c>
      <c r="S21">
        <v>5</v>
      </c>
      <c r="T21">
        <v>3</v>
      </c>
      <c r="V21" s="82">
        <v>6</v>
      </c>
      <c r="W21" s="65"/>
      <c r="X21" s="65">
        <v>1</v>
      </c>
      <c r="Y21" s="65">
        <v>1</v>
      </c>
      <c r="Z21" s="65">
        <v>7</v>
      </c>
      <c r="AA21" s="65">
        <v>1</v>
      </c>
      <c r="AB21" s="65">
        <v>10</v>
      </c>
    </row>
    <row r="22" spans="1:28" x14ac:dyDescent="0.3">
      <c r="A22">
        <v>3</v>
      </c>
      <c r="B22">
        <v>2</v>
      </c>
      <c r="C22">
        <v>2</v>
      </c>
      <c r="D22">
        <v>3</v>
      </c>
      <c r="E22">
        <v>3</v>
      </c>
      <c r="F22">
        <v>2</v>
      </c>
      <c r="G22">
        <v>1</v>
      </c>
      <c r="H22">
        <v>4</v>
      </c>
      <c r="I22">
        <v>4</v>
      </c>
      <c r="J22">
        <v>2</v>
      </c>
      <c r="K22">
        <v>4</v>
      </c>
      <c r="L22">
        <v>2</v>
      </c>
      <c r="N22">
        <v>3</v>
      </c>
      <c r="O22">
        <v>1</v>
      </c>
      <c r="P22">
        <v>4</v>
      </c>
      <c r="Q22">
        <v>4</v>
      </c>
      <c r="R22">
        <v>2</v>
      </c>
      <c r="S22">
        <v>4</v>
      </c>
      <c r="T22">
        <v>2</v>
      </c>
      <c r="V22" s="82" t="s">
        <v>266</v>
      </c>
      <c r="W22" s="65">
        <v>1</v>
      </c>
      <c r="X22" s="65">
        <v>8</v>
      </c>
      <c r="Y22" s="65">
        <v>13</v>
      </c>
      <c r="Z22" s="65">
        <v>58</v>
      </c>
      <c r="AA22" s="65">
        <v>56</v>
      </c>
      <c r="AB22" s="65">
        <v>136</v>
      </c>
    </row>
    <row r="23" spans="1:28" x14ac:dyDescent="0.3">
      <c r="A23">
        <v>4</v>
      </c>
      <c r="B23">
        <v>2</v>
      </c>
      <c r="C23">
        <v>2</v>
      </c>
      <c r="D23">
        <v>4</v>
      </c>
      <c r="E23">
        <v>2</v>
      </c>
      <c r="F23">
        <v>2</v>
      </c>
      <c r="G23">
        <v>4</v>
      </c>
      <c r="H23">
        <v>5</v>
      </c>
      <c r="I23">
        <v>5</v>
      </c>
      <c r="J23">
        <v>4</v>
      </c>
      <c r="K23">
        <v>4</v>
      </c>
      <c r="L23">
        <v>4</v>
      </c>
      <c r="N23">
        <v>4</v>
      </c>
      <c r="O23">
        <v>4</v>
      </c>
      <c r="P23">
        <v>5</v>
      </c>
      <c r="Q23">
        <v>5</v>
      </c>
      <c r="R23">
        <v>4</v>
      </c>
      <c r="S23">
        <v>4</v>
      </c>
      <c r="T23">
        <v>4</v>
      </c>
      <c r="V23" s="79"/>
      <c r="W23" s="80"/>
      <c r="X23" s="81"/>
    </row>
    <row r="24" spans="1:28" x14ac:dyDescent="0.3">
      <c r="A24">
        <v>4</v>
      </c>
      <c r="B24">
        <v>2</v>
      </c>
      <c r="C24">
        <v>2</v>
      </c>
      <c r="D24">
        <v>4</v>
      </c>
      <c r="E24">
        <v>2</v>
      </c>
      <c r="F24">
        <v>3</v>
      </c>
      <c r="G24">
        <v>2</v>
      </c>
      <c r="H24">
        <v>4</v>
      </c>
      <c r="I24">
        <v>5</v>
      </c>
      <c r="J24">
        <v>5</v>
      </c>
      <c r="K24">
        <v>4</v>
      </c>
      <c r="L24">
        <v>5</v>
      </c>
      <c r="N24">
        <v>4</v>
      </c>
      <c r="O24">
        <v>2</v>
      </c>
      <c r="P24">
        <v>4</v>
      </c>
      <c r="Q24">
        <v>5</v>
      </c>
      <c r="R24">
        <v>5</v>
      </c>
      <c r="S24">
        <v>4</v>
      </c>
      <c r="T24">
        <v>5</v>
      </c>
      <c r="V24" s="79"/>
      <c r="W24" s="80"/>
      <c r="X24" s="81"/>
    </row>
    <row r="25" spans="1:28" x14ac:dyDescent="0.3">
      <c r="A25">
        <v>2</v>
      </c>
      <c r="B25">
        <v>2</v>
      </c>
      <c r="C25">
        <v>2</v>
      </c>
      <c r="D25">
        <v>1</v>
      </c>
      <c r="E25">
        <v>2</v>
      </c>
      <c r="F25">
        <v>3</v>
      </c>
      <c r="G25">
        <v>4</v>
      </c>
      <c r="H25">
        <v>5</v>
      </c>
      <c r="I25">
        <v>5</v>
      </c>
      <c r="J25">
        <v>3</v>
      </c>
      <c r="K25">
        <v>4</v>
      </c>
      <c r="L25">
        <v>3</v>
      </c>
      <c r="N25">
        <v>2</v>
      </c>
      <c r="O25">
        <v>4</v>
      </c>
      <c r="P25">
        <v>5</v>
      </c>
      <c r="Q25">
        <v>5</v>
      </c>
      <c r="R25">
        <v>3</v>
      </c>
      <c r="S25">
        <v>4</v>
      </c>
      <c r="T25">
        <v>3</v>
      </c>
      <c r="V25" s="76"/>
      <c r="W25" s="77"/>
      <c r="X25" s="78"/>
    </row>
    <row r="26" spans="1:28" x14ac:dyDescent="0.3">
      <c r="A26">
        <v>3</v>
      </c>
      <c r="B26">
        <v>2</v>
      </c>
      <c r="C26">
        <v>2</v>
      </c>
      <c r="D26">
        <v>2</v>
      </c>
      <c r="E26">
        <v>2</v>
      </c>
      <c r="F26">
        <v>3</v>
      </c>
      <c r="G26">
        <v>3</v>
      </c>
      <c r="H26">
        <v>4</v>
      </c>
      <c r="I26">
        <v>4</v>
      </c>
      <c r="J26">
        <v>3</v>
      </c>
      <c r="K26">
        <v>3</v>
      </c>
      <c r="L26">
        <v>4</v>
      </c>
      <c r="N26">
        <v>3</v>
      </c>
      <c r="O26">
        <v>3</v>
      </c>
      <c r="P26">
        <v>4</v>
      </c>
      <c r="Q26">
        <v>4</v>
      </c>
      <c r="R26">
        <v>3</v>
      </c>
      <c r="S26">
        <v>3</v>
      </c>
      <c r="T26">
        <v>4</v>
      </c>
      <c r="V26" s="79"/>
      <c r="W26" s="80"/>
      <c r="X26" s="81"/>
    </row>
    <row r="27" spans="1:28" x14ac:dyDescent="0.3">
      <c r="A27">
        <v>3</v>
      </c>
      <c r="B27">
        <v>2</v>
      </c>
      <c r="C27">
        <v>2</v>
      </c>
      <c r="D27">
        <v>2</v>
      </c>
      <c r="E27">
        <v>2</v>
      </c>
      <c r="F27">
        <v>2</v>
      </c>
      <c r="G27">
        <v>3</v>
      </c>
      <c r="H27">
        <v>4</v>
      </c>
      <c r="I27">
        <v>4</v>
      </c>
      <c r="J27">
        <v>2</v>
      </c>
      <c r="K27">
        <v>4</v>
      </c>
      <c r="L27">
        <v>4</v>
      </c>
      <c r="N27">
        <v>3</v>
      </c>
      <c r="O27">
        <v>3</v>
      </c>
      <c r="P27">
        <v>4</v>
      </c>
      <c r="Q27">
        <v>4</v>
      </c>
      <c r="R27">
        <v>2</v>
      </c>
      <c r="S27">
        <v>4</v>
      </c>
      <c r="T27">
        <v>4</v>
      </c>
      <c r="V27" s="64" t="s">
        <v>331</v>
      </c>
      <c r="W27" s="64" t="s">
        <v>318</v>
      </c>
    </row>
    <row r="28" spans="1:28" x14ac:dyDescent="0.3">
      <c r="A28">
        <v>3</v>
      </c>
      <c r="B28">
        <v>2</v>
      </c>
      <c r="C28">
        <v>2</v>
      </c>
      <c r="D28">
        <v>2</v>
      </c>
      <c r="E28">
        <v>4</v>
      </c>
      <c r="F28">
        <v>3</v>
      </c>
      <c r="G28">
        <v>5</v>
      </c>
      <c r="H28">
        <v>5</v>
      </c>
      <c r="I28">
        <v>5</v>
      </c>
      <c r="J28">
        <v>3</v>
      </c>
      <c r="K28">
        <v>5</v>
      </c>
      <c r="L28">
        <v>5</v>
      </c>
      <c r="N28">
        <v>3</v>
      </c>
      <c r="O28">
        <v>5</v>
      </c>
      <c r="P28">
        <v>5</v>
      </c>
      <c r="Q28">
        <v>5</v>
      </c>
      <c r="R28">
        <v>3</v>
      </c>
      <c r="S28">
        <v>5</v>
      </c>
      <c r="T28">
        <v>5</v>
      </c>
      <c r="V28" s="64" t="s">
        <v>317</v>
      </c>
      <c r="W28">
        <v>1</v>
      </c>
      <c r="X28">
        <v>2</v>
      </c>
      <c r="Y28">
        <v>3</v>
      </c>
      <c r="Z28">
        <v>4</v>
      </c>
      <c r="AA28">
        <v>5</v>
      </c>
      <c r="AB28" t="s">
        <v>266</v>
      </c>
    </row>
    <row r="29" spans="1:28" x14ac:dyDescent="0.3">
      <c r="A29">
        <v>3</v>
      </c>
      <c r="B29">
        <v>2</v>
      </c>
      <c r="C29">
        <v>1</v>
      </c>
      <c r="D29">
        <v>2</v>
      </c>
      <c r="E29">
        <v>1</v>
      </c>
      <c r="F29">
        <v>2</v>
      </c>
      <c r="G29">
        <v>1</v>
      </c>
      <c r="H29">
        <v>5</v>
      </c>
      <c r="I29">
        <v>4</v>
      </c>
      <c r="J29">
        <v>3</v>
      </c>
      <c r="K29">
        <v>5</v>
      </c>
      <c r="L29">
        <v>3</v>
      </c>
      <c r="N29">
        <v>3</v>
      </c>
      <c r="O29">
        <v>1</v>
      </c>
      <c r="P29">
        <v>5</v>
      </c>
      <c r="Q29">
        <v>4</v>
      </c>
      <c r="R29">
        <v>3</v>
      </c>
      <c r="S29">
        <v>5</v>
      </c>
      <c r="T29">
        <v>3</v>
      </c>
      <c r="V29" s="82">
        <v>2</v>
      </c>
      <c r="W29" s="65"/>
      <c r="X29" s="65"/>
      <c r="Y29" s="65">
        <v>5</v>
      </c>
      <c r="Z29" s="65">
        <v>9</v>
      </c>
      <c r="AA29" s="65">
        <v>10</v>
      </c>
      <c r="AB29" s="65">
        <v>24</v>
      </c>
    </row>
    <row r="30" spans="1:28" x14ac:dyDescent="0.3">
      <c r="A30">
        <v>3</v>
      </c>
      <c r="B30">
        <v>2</v>
      </c>
      <c r="C30">
        <v>2</v>
      </c>
      <c r="D30">
        <v>2</v>
      </c>
      <c r="E30">
        <v>2</v>
      </c>
      <c r="F30">
        <v>2</v>
      </c>
      <c r="G30">
        <v>5</v>
      </c>
      <c r="H30">
        <v>2</v>
      </c>
      <c r="I30">
        <v>5</v>
      </c>
      <c r="J30">
        <v>5</v>
      </c>
      <c r="K30">
        <v>5</v>
      </c>
      <c r="L30">
        <v>5</v>
      </c>
      <c r="N30">
        <v>3</v>
      </c>
      <c r="O30">
        <v>5</v>
      </c>
      <c r="P30">
        <v>2</v>
      </c>
      <c r="Q30">
        <v>5</v>
      </c>
      <c r="R30">
        <v>5</v>
      </c>
      <c r="S30">
        <v>5</v>
      </c>
      <c r="T30">
        <v>5</v>
      </c>
      <c r="V30" s="82">
        <v>3</v>
      </c>
      <c r="W30" s="65"/>
      <c r="X30" s="65">
        <v>1</v>
      </c>
      <c r="Y30" s="65">
        <v>1</v>
      </c>
      <c r="Z30" s="65">
        <v>26</v>
      </c>
      <c r="AA30" s="65">
        <v>17</v>
      </c>
      <c r="AB30" s="65">
        <v>45</v>
      </c>
    </row>
    <row r="31" spans="1:28" x14ac:dyDescent="0.3">
      <c r="A31">
        <v>5</v>
      </c>
      <c r="B31">
        <v>2</v>
      </c>
      <c r="C31">
        <v>2</v>
      </c>
      <c r="D31">
        <v>5</v>
      </c>
      <c r="E31">
        <v>2</v>
      </c>
      <c r="F31">
        <v>2</v>
      </c>
      <c r="G31">
        <v>2</v>
      </c>
      <c r="H31">
        <v>2</v>
      </c>
      <c r="I31">
        <v>4</v>
      </c>
      <c r="J31">
        <v>1</v>
      </c>
      <c r="K31">
        <v>2</v>
      </c>
      <c r="L31">
        <v>2</v>
      </c>
      <c r="N31">
        <v>5</v>
      </c>
      <c r="O31">
        <v>2</v>
      </c>
      <c r="P31">
        <v>2</v>
      </c>
      <c r="Q31">
        <v>4</v>
      </c>
      <c r="R31">
        <v>1</v>
      </c>
      <c r="S31">
        <v>2</v>
      </c>
      <c r="T31">
        <v>2</v>
      </c>
      <c r="V31" s="82">
        <v>4</v>
      </c>
      <c r="W31" s="65">
        <v>1</v>
      </c>
      <c r="X31" s="65"/>
      <c r="Y31" s="65">
        <v>1</v>
      </c>
      <c r="Z31" s="65">
        <v>12</v>
      </c>
      <c r="AA31" s="65">
        <v>8</v>
      </c>
      <c r="AB31" s="65">
        <v>22</v>
      </c>
    </row>
    <row r="32" spans="1:28" x14ac:dyDescent="0.3">
      <c r="A32">
        <v>6</v>
      </c>
      <c r="B32">
        <v>2</v>
      </c>
      <c r="C32">
        <v>1</v>
      </c>
      <c r="D32">
        <v>5</v>
      </c>
      <c r="E32">
        <v>1</v>
      </c>
      <c r="F32">
        <v>1</v>
      </c>
      <c r="G32">
        <v>5</v>
      </c>
      <c r="H32">
        <v>4</v>
      </c>
      <c r="I32">
        <v>5</v>
      </c>
      <c r="J32">
        <v>5</v>
      </c>
      <c r="K32">
        <v>5</v>
      </c>
      <c r="L32">
        <v>4</v>
      </c>
      <c r="N32">
        <v>6</v>
      </c>
      <c r="O32">
        <v>5</v>
      </c>
      <c r="P32">
        <v>4</v>
      </c>
      <c r="Q32">
        <v>5</v>
      </c>
      <c r="R32">
        <v>5</v>
      </c>
      <c r="S32">
        <v>5</v>
      </c>
      <c r="T32">
        <v>4</v>
      </c>
      <c r="V32" s="82">
        <v>5</v>
      </c>
      <c r="W32" s="65"/>
      <c r="X32" s="65"/>
      <c r="Y32" s="65">
        <v>4</v>
      </c>
      <c r="Z32" s="65">
        <v>17</v>
      </c>
      <c r="AA32" s="65">
        <v>14</v>
      </c>
      <c r="AB32" s="65">
        <v>35</v>
      </c>
    </row>
    <row r="33" spans="1:28" x14ac:dyDescent="0.3">
      <c r="A33">
        <v>3</v>
      </c>
      <c r="B33">
        <v>2</v>
      </c>
      <c r="C33">
        <v>2</v>
      </c>
      <c r="D33">
        <v>2</v>
      </c>
      <c r="E33">
        <v>2</v>
      </c>
      <c r="F33">
        <v>2</v>
      </c>
      <c r="G33">
        <v>3</v>
      </c>
      <c r="H33">
        <v>5</v>
      </c>
      <c r="I33">
        <v>4</v>
      </c>
      <c r="J33">
        <v>3</v>
      </c>
      <c r="K33">
        <v>4</v>
      </c>
      <c r="L33">
        <v>3</v>
      </c>
      <c r="N33">
        <v>3</v>
      </c>
      <c r="O33">
        <v>3</v>
      </c>
      <c r="P33">
        <v>5</v>
      </c>
      <c r="Q33">
        <v>4</v>
      </c>
      <c r="R33">
        <v>3</v>
      </c>
      <c r="S33">
        <v>4</v>
      </c>
      <c r="T33">
        <v>3</v>
      </c>
      <c r="V33" s="82">
        <v>6</v>
      </c>
      <c r="W33" s="65"/>
      <c r="X33" s="65"/>
      <c r="Y33" s="65"/>
      <c r="Z33" s="65">
        <v>7</v>
      </c>
      <c r="AA33" s="65">
        <v>3</v>
      </c>
      <c r="AB33" s="65">
        <v>10</v>
      </c>
    </row>
    <row r="34" spans="1:28" x14ac:dyDescent="0.3">
      <c r="A34">
        <v>3</v>
      </c>
      <c r="B34">
        <v>2</v>
      </c>
      <c r="C34">
        <v>2</v>
      </c>
      <c r="D34">
        <v>1</v>
      </c>
      <c r="E34">
        <v>2</v>
      </c>
      <c r="F34">
        <v>2</v>
      </c>
      <c r="G34">
        <v>5</v>
      </c>
      <c r="H34">
        <v>4</v>
      </c>
      <c r="I34">
        <v>4</v>
      </c>
      <c r="J34">
        <v>3</v>
      </c>
      <c r="K34">
        <v>5</v>
      </c>
      <c r="L34">
        <v>4</v>
      </c>
      <c r="N34">
        <v>3</v>
      </c>
      <c r="O34">
        <v>5</v>
      </c>
      <c r="P34">
        <v>4</v>
      </c>
      <c r="Q34">
        <v>4</v>
      </c>
      <c r="R34">
        <v>3</v>
      </c>
      <c r="S34">
        <v>5</v>
      </c>
      <c r="T34">
        <v>4</v>
      </c>
      <c r="V34" s="82" t="s">
        <v>266</v>
      </c>
      <c r="W34" s="65">
        <v>1</v>
      </c>
      <c r="X34" s="65">
        <v>1</v>
      </c>
      <c r="Y34" s="65">
        <v>11</v>
      </c>
      <c r="Z34" s="65">
        <v>71</v>
      </c>
      <c r="AA34" s="65">
        <v>52</v>
      </c>
      <c r="AB34" s="65">
        <v>136</v>
      </c>
    </row>
    <row r="35" spans="1:28" x14ac:dyDescent="0.3">
      <c r="A35">
        <v>5</v>
      </c>
      <c r="B35">
        <v>2</v>
      </c>
      <c r="C35">
        <v>3</v>
      </c>
      <c r="D35">
        <v>5</v>
      </c>
      <c r="E35">
        <v>4</v>
      </c>
      <c r="F35">
        <v>1</v>
      </c>
      <c r="G35">
        <v>4</v>
      </c>
      <c r="H35">
        <v>5</v>
      </c>
      <c r="I35">
        <v>5</v>
      </c>
      <c r="J35">
        <v>4</v>
      </c>
      <c r="K35">
        <v>3</v>
      </c>
      <c r="L35">
        <v>4</v>
      </c>
      <c r="N35">
        <v>5</v>
      </c>
      <c r="O35">
        <v>4</v>
      </c>
      <c r="P35">
        <v>5</v>
      </c>
      <c r="Q35">
        <v>5</v>
      </c>
      <c r="R35">
        <v>4</v>
      </c>
      <c r="S35">
        <v>3</v>
      </c>
      <c r="T35">
        <v>4</v>
      </c>
    </row>
    <row r="36" spans="1:28" x14ac:dyDescent="0.3">
      <c r="A36">
        <v>5</v>
      </c>
      <c r="B36">
        <v>2</v>
      </c>
      <c r="C36">
        <v>2</v>
      </c>
      <c r="D36">
        <v>5</v>
      </c>
      <c r="E36">
        <v>2</v>
      </c>
      <c r="F36">
        <v>2</v>
      </c>
      <c r="G36">
        <v>4</v>
      </c>
      <c r="H36">
        <v>5</v>
      </c>
      <c r="I36">
        <v>4</v>
      </c>
      <c r="J36">
        <v>3</v>
      </c>
      <c r="K36">
        <v>5</v>
      </c>
      <c r="L36">
        <v>4</v>
      </c>
      <c r="N36">
        <v>5</v>
      </c>
      <c r="O36">
        <v>4</v>
      </c>
      <c r="P36">
        <v>5</v>
      </c>
      <c r="Q36">
        <v>4</v>
      </c>
      <c r="R36">
        <v>3</v>
      </c>
      <c r="S36">
        <v>5</v>
      </c>
      <c r="T36">
        <v>4</v>
      </c>
    </row>
    <row r="37" spans="1:28" x14ac:dyDescent="0.3">
      <c r="A37">
        <v>5</v>
      </c>
      <c r="B37">
        <v>2</v>
      </c>
      <c r="C37">
        <v>2</v>
      </c>
      <c r="D37">
        <v>4</v>
      </c>
      <c r="E37">
        <v>4</v>
      </c>
      <c r="F37">
        <v>1</v>
      </c>
      <c r="G37">
        <v>5</v>
      </c>
      <c r="H37">
        <v>4</v>
      </c>
      <c r="I37">
        <v>4</v>
      </c>
      <c r="J37">
        <v>5</v>
      </c>
      <c r="K37">
        <v>4</v>
      </c>
      <c r="L37">
        <v>2</v>
      </c>
      <c r="N37">
        <v>5</v>
      </c>
      <c r="O37">
        <v>5</v>
      </c>
      <c r="P37">
        <v>4</v>
      </c>
      <c r="Q37">
        <v>4</v>
      </c>
      <c r="R37">
        <v>5</v>
      </c>
      <c r="S37">
        <v>4</v>
      </c>
      <c r="T37">
        <v>2</v>
      </c>
    </row>
    <row r="38" spans="1:28" x14ac:dyDescent="0.3">
      <c r="A38">
        <v>3</v>
      </c>
      <c r="B38">
        <v>2</v>
      </c>
      <c r="C38">
        <v>1</v>
      </c>
      <c r="D38">
        <v>2</v>
      </c>
      <c r="E38">
        <v>1</v>
      </c>
      <c r="F38">
        <v>2</v>
      </c>
      <c r="G38">
        <v>5</v>
      </c>
      <c r="H38">
        <v>5</v>
      </c>
      <c r="I38">
        <v>5</v>
      </c>
      <c r="J38">
        <v>3</v>
      </c>
      <c r="K38">
        <v>4</v>
      </c>
      <c r="L38">
        <v>3</v>
      </c>
      <c r="N38">
        <v>3</v>
      </c>
      <c r="O38">
        <v>5</v>
      </c>
      <c r="P38">
        <v>5</v>
      </c>
      <c r="Q38">
        <v>5</v>
      </c>
      <c r="R38">
        <v>3</v>
      </c>
      <c r="S38">
        <v>4</v>
      </c>
      <c r="T38">
        <v>3</v>
      </c>
      <c r="V38" s="64" t="s">
        <v>332</v>
      </c>
      <c r="W38" s="64" t="s">
        <v>318</v>
      </c>
    </row>
    <row r="39" spans="1:28" x14ac:dyDescent="0.3">
      <c r="A39">
        <v>6</v>
      </c>
      <c r="B39">
        <v>2</v>
      </c>
      <c r="C39">
        <v>1</v>
      </c>
      <c r="D39">
        <v>5</v>
      </c>
      <c r="E39">
        <v>2</v>
      </c>
      <c r="F39">
        <v>2</v>
      </c>
      <c r="G39">
        <v>5</v>
      </c>
      <c r="H39">
        <v>4</v>
      </c>
      <c r="I39">
        <v>4</v>
      </c>
      <c r="J39">
        <v>5</v>
      </c>
      <c r="K39">
        <v>5</v>
      </c>
      <c r="L39">
        <v>5</v>
      </c>
      <c r="N39">
        <v>6</v>
      </c>
      <c r="O39">
        <v>5</v>
      </c>
      <c r="P39">
        <v>4</v>
      </c>
      <c r="Q39">
        <v>4</v>
      </c>
      <c r="R39">
        <v>5</v>
      </c>
      <c r="S39">
        <v>5</v>
      </c>
      <c r="T39">
        <v>5</v>
      </c>
      <c r="V39" s="64" t="s">
        <v>317</v>
      </c>
      <c r="W39">
        <v>1</v>
      </c>
      <c r="X39">
        <v>2</v>
      </c>
      <c r="Y39">
        <v>3</v>
      </c>
      <c r="Z39">
        <v>4</v>
      </c>
      <c r="AA39">
        <v>5</v>
      </c>
      <c r="AB39" t="s">
        <v>266</v>
      </c>
    </row>
    <row r="40" spans="1:28" x14ac:dyDescent="0.3">
      <c r="A40">
        <v>5</v>
      </c>
      <c r="B40">
        <v>2</v>
      </c>
      <c r="C40">
        <v>3</v>
      </c>
      <c r="D40">
        <v>5</v>
      </c>
      <c r="E40">
        <v>4</v>
      </c>
      <c r="F40">
        <v>2</v>
      </c>
      <c r="G40">
        <v>5</v>
      </c>
      <c r="H40">
        <v>5</v>
      </c>
      <c r="I40">
        <v>5</v>
      </c>
      <c r="J40">
        <v>3</v>
      </c>
      <c r="K40">
        <v>4</v>
      </c>
      <c r="L40">
        <v>4</v>
      </c>
      <c r="N40">
        <v>5</v>
      </c>
      <c r="O40">
        <v>5</v>
      </c>
      <c r="P40">
        <v>5</v>
      </c>
      <c r="Q40">
        <v>5</v>
      </c>
      <c r="R40">
        <v>3</v>
      </c>
      <c r="S40">
        <v>4</v>
      </c>
      <c r="T40">
        <v>4</v>
      </c>
      <c r="V40" s="82">
        <v>2</v>
      </c>
      <c r="W40" s="65"/>
      <c r="X40" s="65">
        <v>3</v>
      </c>
      <c r="Y40" s="65">
        <v>13</v>
      </c>
      <c r="Z40" s="65">
        <v>7</v>
      </c>
      <c r="AA40" s="65">
        <v>1</v>
      </c>
      <c r="AB40" s="65">
        <v>24</v>
      </c>
    </row>
    <row r="41" spans="1:28" x14ac:dyDescent="0.3">
      <c r="A41">
        <v>3</v>
      </c>
      <c r="B41">
        <v>2</v>
      </c>
      <c r="C41">
        <v>2</v>
      </c>
      <c r="D41">
        <v>2</v>
      </c>
      <c r="E41">
        <v>2</v>
      </c>
      <c r="F41">
        <v>3</v>
      </c>
      <c r="G41">
        <v>2</v>
      </c>
      <c r="H41">
        <v>2</v>
      </c>
      <c r="I41">
        <v>4</v>
      </c>
      <c r="J41">
        <v>2</v>
      </c>
      <c r="K41">
        <v>4</v>
      </c>
      <c r="L41">
        <v>5</v>
      </c>
      <c r="N41">
        <v>3</v>
      </c>
      <c r="O41">
        <v>2</v>
      </c>
      <c r="P41">
        <v>2</v>
      </c>
      <c r="Q41">
        <v>4</v>
      </c>
      <c r="R41">
        <v>2</v>
      </c>
      <c r="S41">
        <v>4</v>
      </c>
      <c r="T41">
        <v>5</v>
      </c>
      <c r="V41" s="82">
        <v>3</v>
      </c>
      <c r="W41" s="65">
        <v>1</v>
      </c>
      <c r="X41" s="65">
        <v>13</v>
      </c>
      <c r="Y41" s="65">
        <v>20</v>
      </c>
      <c r="Z41" s="65">
        <v>8</v>
      </c>
      <c r="AA41" s="65">
        <v>3</v>
      </c>
      <c r="AB41" s="65">
        <v>45</v>
      </c>
    </row>
    <row r="42" spans="1:28" x14ac:dyDescent="0.3">
      <c r="A42">
        <v>6</v>
      </c>
      <c r="B42">
        <v>2</v>
      </c>
      <c r="C42">
        <v>1</v>
      </c>
      <c r="D42">
        <v>5</v>
      </c>
      <c r="E42">
        <v>1</v>
      </c>
      <c r="F42">
        <v>1</v>
      </c>
      <c r="G42">
        <v>2</v>
      </c>
      <c r="H42">
        <v>2</v>
      </c>
      <c r="I42">
        <v>4</v>
      </c>
      <c r="J42">
        <v>2</v>
      </c>
      <c r="K42">
        <v>2</v>
      </c>
      <c r="L42">
        <v>2</v>
      </c>
      <c r="N42">
        <v>6</v>
      </c>
      <c r="O42">
        <v>2</v>
      </c>
      <c r="P42">
        <v>2</v>
      </c>
      <c r="Q42">
        <v>4</v>
      </c>
      <c r="R42">
        <v>2</v>
      </c>
      <c r="S42">
        <v>2</v>
      </c>
      <c r="T42">
        <v>2</v>
      </c>
      <c r="V42" s="82">
        <v>4</v>
      </c>
      <c r="W42" s="65">
        <v>2</v>
      </c>
      <c r="X42" s="65">
        <v>4</v>
      </c>
      <c r="Y42" s="65">
        <v>6</v>
      </c>
      <c r="Z42" s="65">
        <v>8</v>
      </c>
      <c r="AA42" s="65">
        <v>2</v>
      </c>
      <c r="AB42" s="65">
        <v>22</v>
      </c>
    </row>
    <row r="43" spans="1:28" x14ac:dyDescent="0.3">
      <c r="A43">
        <v>5</v>
      </c>
      <c r="B43">
        <v>2</v>
      </c>
      <c r="C43">
        <v>1</v>
      </c>
      <c r="D43">
        <v>5</v>
      </c>
      <c r="E43">
        <v>1</v>
      </c>
      <c r="F43">
        <v>2</v>
      </c>
      <c r="G43">
        <v>4</v>
      </c>
      <c r="H43">
        <v>4</v>
      </c>
      <c r="I43">
        <v>4</v>
      </c>
      <c r="J43">
        <v>3</v>
      </c>
      <c r="K43">
        <v>5</v>
      </c>
      <c r="L43">
        <v>2</v>
      </c>
      <c r="N43">
        <v>5</v>
      </c>
      <c r="O43">
        <v>4</v>
      </c>
      <c r="P43">
        <v>4</v>
      </c>
      <c r="Q43">
        <v>4</v>
      </c>
      <c r="R43">
        <v>3</v>
      </c>
      <c r="S43">
        <v>5</v>
      </c>
      <c r="T43">
        <v>2</v>
      </c>
      <c r="V43" s="82">
        <v>5</v>
      </c>
      <c r="W43" s="65">
        <v>1</v>
      </c>
      <c r="X43" s="65">
        <v>6</v>
      </c>
      <c r="Y43" s="65">
        <v>14</v>
      </c>
      <c r="Z43" s="65">
        <v>11</v>
      </c>
      <c r="AA43" s="65">
        <v>3</v>
      </c>
      <c r="AB43" s="65">
        <v>35</v>
      </c>
    </row>
    <row r="44" spans="1:28" x14ac:dyDescent="0.3">
      <c r="A44">
        <v>5</v>
      </c>
      <c r="B44">
        <v>1</v>
      </c>
      <c r="C44">
        <v>1</v>
      </c>
      <c r="D44">
        <v>5</v>
      </c>
      <c r="E44">
        <v>1</v>
      </c>
      <c r="F44">
        <v>2</v>
      </c>
      <c r="G44">
        <v>4</v>
      </c>
      <c r="H44">
        <v>5</v>
      </c>
      <c r="I44">
        <v>5</v>
      </c>
      <c r="J44">
        <v>3</v>
      </c>
      <c r="K44">
        <v>3</v>
      </c>
      <c r="L44">
        <v>3</v>
      </c>
      <c r="N44">
        <v>5</v>
      </c>
      <c r="O44">
        <v>4</v>
      </c>
      <c r="P44">
        <v>5</v>
      </c>
      <c r="Q44">
        <v>5</v>
      </c>
      <c r="R44">
        <v>3</v>
      </c>
      <c r="S44">
        <v>3</v>
      </c>
      <c r="T44">
        <v>3</v>
      </c>
      <c r="V44" s="82">
        <v>6</v>
      </c>
      <c r="W44" s="65"/>
      <c r="X44" s="65">
        <v>2</v>
      </c>
      <c r="Y44" s="65">
        <v>2</v>
      </c>
      <c r="Z44" s="65">
        <v>3</v>
      </c>
      <c r="AA44" s="65">
        <v>3</v>
      </c>
      <c r="AB44" s="65">
        <v>10</v>
      </c>
    </row>
    <row r="45" spans="1:28" x14ac:dyDescent="0.3">
      <c r="A45">
        <v>5</v>
      </c>
      <c r="B45">
        <v>2</v>
      </c>
      <c r="C45">
        <v>3</v>
      </c>
      <c r="D45">
        <v>5</v>
      </c>
      <c r="E45">
        <v>3</v>
      </c>
      <c r="F45">
        <v>2</v>
      </c>
      <c r="G45">
        <v>3</v>
      </c>
      <c r="H45">
        <v>4</v>
      </c>
      <c r="I45">
        <v>5</v>
      </c>
      <c r="J45">
        <v>2</v>
      </c>
      <c r="K45">
        <v>2</v>
      </c>
      <c r="L45">
        <v>4</v>
      </c>
      <c r="N45">
        <v>5</v>
      </c>
      <c r="O45">
        <v>3</v>
      </c>
      <c r="P45">
        <v>4</v>
      </c>
      <c r="Q45">
        <v>5</v>
      </c>
      <c r="R45">
        <v>2</v>
      </c>
      <c r="S45">
        <v>2</v>
      </c>
      <c r="T45">
        <v>4</v>
      </c>
      <c r="V45" s="82" t="s">
        <v>266</v>
      </c>
      <c r="W45" s="65">
        <v>4</v>
      </c>
      <c r="X45" s="65">
        <v>28</v>
      </c>
      <c r="Y45" s="65">
        <v>55</v>
      </c>
      <c r="Z45" s="65">
        <v>37</v>
      </c>
      <c r="AA45" s="65">
        <v>12</v>
      </c>
      <c r="AB45" s="65">
        <v>136</v>
      </c>
    </row>
    <row r="46" spans="1:28" x14ac:dyDescent="0.3">
      <c r="A46">
        <v>3</v>
      </c>
      <c r="B46">
        <v>2</v>
      </c>
      <c r="C46">
        <v>2</v>
      </c>
      <c r="D46">
        <v>3</v>
      </c>
      <c r="E46">
        <v>2</v>
      </c>
      <c r="F46">
        <v>2</v>
      </c>
      <c r="G46">
        <v>5</v>
      </c>
      <c r="H46">
        <v>5</v>
      </c>
      <c r="I46">
        <v>5</v>
      </c>
      <c r="J46">
        <v>5</v>
      </c>
      <c r="K46">
        <v>4</v>
      </c>
      <c r="L46">
        <v>5</v>
      </c>
      <c r="N46">
        <v>3</v>
      </c>
      <c r="O46">
        <v>5</v>
      </c>
      <c r="P46">
        <v>5</v>
      </c>
      <c r="Q46">
        <v>5</v>
      </c>
      <c r="R46">
        <v>5</v>
      </c>
      <c r="S46">
        <v>4</v>
      </c>
      <c r="T46">
        <v>5</v>
      </c>
    </row>
    <row r="47" spans="1:28" x14ac:dyDescent="0.3">
      <c r="A47">
        <v>5</v>
      </c>
      <c r="B47">
        <v>2</v>
      </c>
      <c r="C47">
        <v>3</v>
      </c>
      <c r="D47">
        <v>5</v>
      </c>
      <c r="E47">
        <v>3</v>
      </c>
      <c r="F47">
        <v>2</v>
      </c>
      <c r="G47">
        <v>4</v>
      </c>
      <c r="H47">
        <v>5</v>
      </c>
      <c r="I47">
        <v>5</v>
      </c>
      <c r="J47">
        <v>4</v>
      </c>
      <c r="K47">
        <v>4</v>
      </c>
      <c r="L47">
        <v>3</v>
      </c>
      <c r="N47">
        <v>5</v>
      </c>
      <c r="O47">
        <v>4</v>
      </c>
      <c r="P47">
        <v>5</v>
      </c>
      <c r="Q47">
        <v>5</v>
      </c>
      <c r="R47">
        <v>4</v>
      </c>
      <c r="S47">
        <v>4</v>
      </c>
      <c r="T47">
        <v>3</v>
      </c>
    </row>
    <row r="48" spans="1:28" x14ac:dyDescent="0.3">
      <c r="A48">
        <v>3</v>
      </c>
      <c r="B48">
        <v>2</v>
      </c>
      <c r="C48">
        <v>2</v>
      </c>
      <c r="D48">
        <v>2</v>
      </c>
      <c r="E48">
        <v>2</v>
      </c>
      <c r="F48">
        <v>2</v>
      </c>
      <c r="G48">
        <v>3</v>
      </c>
      <c r="H48">
        <v>5</v>
      </c>
      <c r="I48">
        <v>5</v>
      </c>
      <c r="J48">
        <v>3</v>
      </c>
      <c r="K48">
        <v>2</v>
      </c>
      <c r="L48">
        <v>2</v>
      </c>
      <c r="N48">
        <v>3</v>
      </c>
      <c r="O48">
        <v>3</v>
      </c>
      <c r="P48">
        <v>5</v>
      </c>
      <c r="Q48">
        <v>5</v>
      </c>
      <c r="R48">
        <v>3</v>
      </c>
      <c r="S48">
        <v>2</v>
      </c>
      <c r="T48">
        <v>2</v>
      </c>
    </row>
    <row r="49" spans="1:28" x14ac:dyDescent="0.3">
      <c r="A49">
        <v>2</v>
      </c>
      <c r="B49">
        <v>2</v>
      </c>
      <c r="C49">
        <v>1</v>
      </c>
      <c r="D49">
        <v>2</v>
      </c>
      <c r="E49">
        <v>1</v>
      </c>
      <c r="F49">
        <v>2</v>
      </c>
      <c r="G49">
        <v>3</v>
      </c>
      <c r="H49">
        <v>5</v>
      </c>
      <c r="I49">
        <v>4</v>
      </c>
      <c r="J49">
        <v>4</v>
      </c>
      <c r="K49">
        <v>3</v>
      </c>
      <c r="L49">
        <v>4</v>
      </c>
      <c r="N49">
        <v>2</v>
      </c>
      <c r="O49">
        <v>3</v>
      </c>
      <c r="P49">
        <v>5</v>
      </c>
      <c r="Q49">
        <v>4</v>
      </c>
      <c r="R49">
        <v>4</v>
      </c>
      <c r="S49">
        <v>3</v>
      </c>
      <c r="T49">
        <v>4</v>
      </c>
      <c r="V49" s="64" t="s">
        <v>333</v>
      </c>
      <c r="W49" s="64" t="s">
        <v>318</v>
      </c>
    </row>
    <row r="50" spans="1:28" x14ac:dyDescent="0.3">
      <c r="A50">
        <v>5</v>
      </c>
      <c r="B50">
        <v>2</v>
      </c>
      <c r="C50">
        <v>2</v>
      </c>
      <c r="D50">
        <v>5</v>
      </c>
      <c r="E50">
        <v>2</v>
      </c>
      <c r="F50">
        <v>3</v>
      </c>
      <c r="G50">
        <v>3</v>
      </c>
      <c r="H50">
        <v>3</v>
      </c>
      <c r="I50">
        <v>3</v>
      </c>
      <c r="J50">
        <v>2</v>
      </c>
      <c r="K50">
        <v>3</v>
      </c>
      <c r="L50">
        <v>3</v>
      </c>
      <c r="N50">
        <v>5</v>
      </c>
      <c r="O50">
        <v>3</v>
      </c>
      <c r="P50">
        <v>3</v>
      </c>
      <c r="Q50">
        <v>3</v>
      </c>
      <c r="R50">
        <v>2</v>
      </c>
      <c r="S50">
        <v>3</v>
      </c>
      <c r="T50">
        <v>3</v>
      </c>
      <c r="V50" s="64" t="s">
        <v>317</v>
      </c>
      <c r="W50">
        <v>2</v>
      </c>
      <c r="X50">
        <v>3</v>
      </c>
      <c r="Y50">
        <v>4</v>
      </c>
      <c r="Z50">
        <v>5</v>
      </c>
      <c r="AA50" t="s">
        <v>266</v>
      </c>
    </row>
    <row r="51" spans="1:28" x14ac:dyDescent="0.3">
      <c r="A51">
        <v>5</v>
      </c>
      <c r="B51">
        <v>2</v>
      </c>
      <c r="C51">
        <v>1</v>
      </c>
      <c r="D51">
        <v>4</v>
      </c>
      <c r="E51">
        <v>1</v>
      </c>
      <c r="F51">
        <v>2</v>
      </c>
      <c r="G51">
        <v>4</v>
      </c>
      <c r="H51">
        <v>3</v>
      </c>
      <c r="I51">
        <v>3</v>
      </c>
      <c r="J51">
        <v>3</v>
      </c>
      <c r="K51">
        <v>3</v>
      </c>
      <c r="L51">
        <v>2</v>
      </c>
      <c r="N51">
        <v>5</v>
      </c>
      <c r="O51">
        <v>4</v>
      </c>
      <c r="P51">
        <v>3</v>
      </c>
      <c r="Q51">
        <v>3</v>
      </c>
      <c r="R51">
        <v>3</v>
      </c>
      <c r="S51">
        <v>3</v>
      </c>
      <c r="T51">
        <v>2</v>
      </c>
      <c r="V51" s="82">
        <v>2</v>
      </c>
      <c r="W51" s="65">
        <v>1</v>
      </c>
      <c r="X51" s="65">
        <v>5</v>
      </c>
      <c r="Y51" s="65">
        <v>11</v>
      </c>
      <c r="Z51" s="65">
        <v>7</v>
      </c>
      <c r="AA51" s="65">
        <v>24</v>
      </c>
    </row>
    <row r="52" spans="1:28" x14ac:dyDescent="0.3">
      <c r="A52">
        <v>3</v>
      </c>
      <c r="B52">
        <v>2</v>
      </c>
      <c r="C52">
        <v>1</v>
      </c>
      <c r="D52">
        <v>2</v>
      </c>
      <c r="E52">
        <v>2</v>
      </c>
      <c r="F52">
        <v>2</v>
      </c>
      <c r="G52">
        <v>3</v>
      </c>
      <c r="H52">
        <v>4</v>
      </c>
      <c r="I52">
        <v>5</v>
      </c>
      <c r="J52">
        <v>2</v>
      </c>
      <c r="K52">
        <v>5</v>
      </c>
      <c r="L52">
        <v>4</v>
      </c>
      <c r="N52">
        <v>3</v>
      </c>
      <c r="O52">
        <v>3</v>
      </c>
      <c r="P52">
        <v>4</v>
      </c>
      <c r="Q52">
        <v>5</v>
      </c>
      <c r="R52">
        <v>2</v>
      </c>
      <c r="S52">
        <v>5</v>
      </c>
      <c r="T52">
        <v>4</v>
      </c>
      <c r="V52" s="82">
        <v>3</v>
      </c>
      <c r="W52" s="65">
        <v>6</v>
      </c>
      <c r="X52" s="65">
        <v>9</v>
      </c>
      <c r="Y52" s="65">
        <v>22</v>
      </c>
      <c r="Z52" s="65">
        <v>8</v>
      </c>
      <c r="AA52" s="65">
        <v>45</v>
      </c>
    </row>
    <row r="53" spans="1:28" x14ac:dyDescent="0.3">
      <c r="A53">
        <v>3</v>
      </c>
      <c r="B53">
        <v>2</v>
      </c>
      <c r="C53">
        <v>2</v>
      </c>
      <c r="D53">
        <v>2</v>
      </c>
      <c r="E53">
        <v>2</v>
      </c>
      <c r="F53">
        <v>2</v>
      </c>
      <c r="G53">
        <v>3</v>
      </c>
      <c r="H53">
        <v>3</v>
      </c>
      <c r="I53">
        <v>5</v>
      </c>
      <c r="J53">
        <v>3</v>
      </c>
      <c r="K53">
        <v>3</v>
      </c>
      <c r="L53">
        <v>3</v>
      </c>
      <c r="N53">
        <v>3</v>
      </c>
      <c r="O53">
        <v>3</v>
      </c>
      <c r="P53">
        <v>3</v>
      </c>
      <c r="Q53">
        <v>5</v>
      </c>
      <c r="R53">
        <v>3</v>
      </c>
      <c r="S53">
        <v>3</v>
      </c>
      <c r="T53">
        <v>3</v>
      </c>
      <c r="V53" s="82">
        <v>4</v>
      </c>
      <c r="W53" s="65">
        <v>4</v>
      </c>
      <c r="X53" s="65">
        <v>6</v>
      </c>
      <c r="Y53" s="65">
        <v>7</v>
      </c>
      <c r="Z53" s="65">
        <v>5</v>
      </c>
      <c r="AA53" s="65">
        <v>22</v>
      </c>
    </row>
    <row r="54" spans="1:28" x14ac:dyDescent="0.3">
      <c r="A54">
        <v>5</v>
      </c>
      <c r="B54">
        <v>2</v>
      </c>
      <c r="C54">
        <v>1</v>
      </c>
      <c r="D54">
        <v>4</v>
      </c>
      <c r="E54">
        <v>1</v>
      </c>
      <c r="F54">
        <v>2</v>
      </c>
      <c r="G54">
        <v>4</v>
      </c>
      <c r="H54">
        <v>5</v>
      </c>
      <c r="I54">
        <v>4</v>
      </c>
      <c r="J54">
        <v>4</v>
      </c>
      <c r="K54">
        <v>4</v>
      </c>
      <c r="L54">
        <v>4</v>
      </c>
      <c r="N54">
        <v>5</v>
      </c>
      <c r="O54">
        <v>4</v>
      </c>
      <c r="P54">
        <v>5</v>
      </c>
      <c r="Q54">
        <v>4</v>
      </c>
      <c r="R54">
        <v>4</v>
      </c>
      <c r="S54">
        <v>4</v>
      </c>
      <c r="T54">
        <v>4</v>
      </c>
      <c r="V54" s="82">
        <v>5</v>
      </c>
      <c r="W54" s="65">
        <v>5</v>
      </c>
      <c r="X54" s="65">
        <v>8</v>
      </c>
      <c r="Y54" s="65">
        <v>17</v>
      </c>
      <c r="Z54" s="65">
        <v>5</v>
      </c>
      <c r="AA54" s="65">
        <v>35</v>
      </c>
    </row>
    <row r="55" spans="1:28" x14ac:dyDescent="0.3">
      <c r="A55">
        <v>3</v>
      </c>
      <c r="B55">
        <v>2</v>
      </c>
      <c r="C55">
        <v>1</v>
      </c>
      <c r="D55">
        <v>2</v>
      </c>
      <c r="E55">
        <v>1</v>
      </c>
      <c r="F55">
        <v>2</v>
      </c>
      <c r="G55">
        <v>3</v>
      </c>
      <c r="H55">
        <v>5</v>
      </c>
      <c r="I55">
        <v>4</v>
      </c>
      <c r="J55">
        <v>3</v>
      </c>
      <c r="K55">
        <v>3</v>
      </c>
      <c r="L55">
        <v>4</v>
      </c>
      <c r="N55">
        <v>3</v>
      </c>
      <c r="O55">
        <v>3</v>
      </c>
      <c r="P55">
        <v>5</v>
      </c>
      <c r="Q55">
        <v>4</v>
      </c>
      <c r="R55">
        <v>3</v>
      </c>
      <c r="S55">
        <v>3</v>
      </c>
      <c r="T55">
        <v>4</v>
      </c>
      <c r="V55" s="82">
        <v>6</v>
      </c>
      <c r="W55" s="65">
        <v>1</v>
      </c>
      <c r="X55" s="65"/>
      <c r="Y55" s="65">
        <v>6</v>
      </c>
      <c r="Z55" s="65">
        <v>3</v>
      </c>
      <c r="AA55" s="65">
        <v>10</v>
      </c>
    </row>
    <row r="56" spans="1:28" x14ac:dyDescent="0.3">
      <c r="A56">
        <v>5</v>
      </c>
      <c r="B56">
        <v>2</v>
      </c>
      <c r="C56">
        <v>2</v>
      </c>
      <c r="D56">
        <v>5</v>
      </c>
      <c r="E56">
        <v>4</v>
      </c>
      <c r="F56">
        <v>2</v>
      </c>
      <c r="G56">
        <v>3</v>
      </c>
      <c r="H56">
        <v>4</v>
      </c>
      <c r="I56">
        <v>4</v>
      </c>
      <c r="J56">
        <v>2</v>
      </c>
      <c r="K56">
        <v>3</v>
      </c>
      <c r="L56">
        <v>3</v>
      </c>
      <c r="N56">
        <v>5</v>
      </c>
      <c r="O56">
        <v>3</v>
      </c>
      <c r="P56">
        <v>4</v>
      </c>
      <c r="Q56">
        <v>4</v>
      </c>
      <c r="R56">
        <v>2</v>
      </c>
      <c r="S56">
        <v>3</v>
      </c>
      <c r="T56">
        <v>3</v>
      </c>
      <c r="V56" s="82" t="s">
        <v>266</v>
      </c>
      <c r="W56" s="65">
        <v>17</v>
      </c>
      <c r="X56" s="65">
        <v>28</v>
      </c>
      <c r="Y56" s="65">
        <v>63</v>
      </c>
      <c r="Z56" s="65">
        <v>28</v>
      </c>
      <c r="AA56" s="65">
        <v>136</v>
      </c>
    </row>
    <row r="57" spans="1:28" x14ac:dyDescent="0.3">
      <c r="A57">
        <v>3</v>
      </c>
      <c r="B57">
        <v>2</v>
      </c>
      <c r="C57">
        <v>2</v>
      </c>
      <c r="D57">
        <v>1</v>
      </c>
      <c r="E57">
        <v>2</v>
      </c>
      <c r="F57">
        <v>3</v>
      </c>
      <c r="G57">
        <v>2</v>
      </c>
      <c r="H57">
        <v>3</v>
      </c>
      <c r="I57">
        <v>4</v>
      </c>
      <c r="J57">
        <v>2</v>
      </c>
      <c r="K57">
        <v>3</v>
      </c>
      <c r="L57">
        <v>3</v>
      </c>
      <c r="N57">
        <v>3</v>
      </c>
      <c r="O57">
        <v>2</v>
      </c>
      <c r="P57">
        <v>3</v>
      </c>
      <c r="Q57">
        <v>4</v>
      </c>
      <c r="R57">
        <v>2</v>
      </c>
      <c r="S57">
        <v>3</v>
      </c>
      <c r="T57">
        <v>3</v>
      </c>
    </row>
    <row r="58" spans="1:28" x14ac:dyDescent="0.3">
      <c r="A58">
        <v>2</v>
      </c>
      <c r="B58">
        <v>2</v>
      </c>
      <c r="C58">
        <v>2</v>
      </c>
      <c r="D58">
        <v>1</v>
      </c>
      <c r="E58">
        <v>2</v>
      </c>
      <c r="F58">
        <v>2</v>
      </c>
      <c r="G58">
        <v>4</v>
      </c>
      <c r="H58">
        <v>4</v>
      </c>
      <c r="I58">
        <v>5</v>
      </c>
      <c r="J58">
        <v>3</v>
      </c>
      <c r="K58">
        <v>5</v>
      </c>
      <c r="L58">
        <v>4</v>
      </c>
      <c r="N58">
        <v>2</v>
      </c>
      <c r="O58">
        <v>4</v>
      </c>
      <c r="P58">
        <v>4</v>
      </c>
      <c r="Q58">
        <v>5</v>
      </c>
      <c r="R58">
        <v>3</v>
      </c>
      <c r="S58">
        <v>5</v>
      </c>
      <c r="T58">
        <v>4</v>
      </c>
    </row>
    <row r="59" spans="1:28" x14ac:dyDescent="0.3">
      <c r="A59">
        <v>2</v>
      </c>
      <c r="B59">
        <v>2</v>
      </c>
      <c r="C59">
        <v>1</v>
      </c>
      <c r="D59">
        <v>2</v>
      </c>
      <c r="E59">
        <v>1</v>
      </c>
      <c r="F59">
        <v>2</v>
      </c>
      <c r="G59">
        <v>3</v>
      </c>
      <c r="H59">
        <v>4</v>
      </c>
      <c r="I59">
        <v>5</v>
      </c>
      <c r="J59">
        <v>3</v>
      </c>
      <c r="K59">
        <v>5</v>
      </c>
      <c r="L59">
        <v>2</v>
      </c>
      <c r="N59">
        <v>2</v>
      </c>
      <c r="O59">
        <v>3</v>
      </c>
      <c r="P59">
        <v>4</v>
      </c>
      <c r="Q59">
        <v>5</v>
      </c>
      <c r="R59">
        <v>3</v>
      </c>
      <c r="S59">
        <v>5</v>
      </c>
      <c r="T59">
        <v>2</v>
      </c>
      <c r="V59" s="64" t="s">
        <v>334</v>
      </c>
      <c r="W59" s="64" t="s">
        <v>318</v>
      </c>
    </row>
    <row r="60" spans="1:28" x14ac:dyDescent="0.3">
      <c r="A60">
        <v>3</v>
      </c>
      <c r="B60">
        <v>2</v>
      </c>
      <c r="C60">
        <v>2</v>
      </c>
      <c r="D60">
        <v>2</v>
      </c>
      <c r="E60">
        <v>2</v>
      </c>
      <c r="F60">
        <v>2</v>
      </c>
      <c r="G60">
        <v>3</v>
      </c>
      <c r="H60">
        <v>4</v>
      </c>
      <c r="I60">
        <v>4</v>
      </c>
      <c r="J60">
        <v>3</v>
      </c>
      <c r="K60">
        <v>3</v>
      </c>
      <c r="L60">
        <v>3</v>
      </c>
      <c r="N60">
        <v>3</v>
      </c>
      <c r="O60">
        <v>3</v>
      </c>
      <c r="P60">
        <v>4</v>
      </c>
      <c r="Q60">
        <v>4</v>
      </c>
      <c r="R60">
        <v>3</v>
      </c>
      <c r="S60">
        <v>3</v>
      </c>
      <c r="T60">
        <v>3</v>
      </c>
      <c r="V60" s="64" t="s">
        <v>317</v>
      </c>
      <c r="W60">
        <v>1</v>
      </c>
      <c r="X60">
        <v>2</v>
      </c>
      <c r="Y60">
        <v>3</v>
      </c>
      <c r="Z60">
        <v>4</v>
      </c>
      <c r="AA60">
        <v>5</v>
      </c>
      <c r="AB60" t="s">
        <v>266</v>
      </c>
    </row>
    <row r="61" spans="1:28" x14ac:dyDescent="0.3">
      <c r="A61">
        <v>4</v>
      </c>
      <c r="B61">
        <v>2</v>
      </c>
      <c r="C61">
        <v>1</v>
      </c>
      <c r="D61">
        <v>4</v>
      </c>
      <c r="E61">
        <v>1</v>
      </c>
      <c r="F61">
        <v>2</v>
      </c>
      <c r="G61">
        <v>4</v>
      </c>
      <c r="H61">
        <v>4</v>
      </c>
      <c r="I61">
        <v>5</v>
      </c>
      <c r="J61">
        <v>2</v>
      </c>
      <c r="K61">
        <v>4</v>
      </c>
      <c r="L61">
        <v>4</v>
      </c>
      <c r="N61">
        <v>4</v>
      </c>
      <c r="O61">
        <v>4</v>
      </c>
      <c r="P61">
        <v>4</v>
      </c>
      <c r="Q61">
        <v>5</v>
      </c>
      <c r="R61">
        <v>2</v>
      </c>
      <c r="S61">
        <v>4</v>
      </c>
      <c r="T61">
        <v>4</v>
      </c>
      <c r="V61" s="82">
        <v>2</v>
      </c>
      <c r="W61" s="65"/>
      <c r="X61" s="65">
        <v>5</v>
      </c>
      <c r="Y61" s="65">
        <v>6</v>
      </c>
      <c r="Z61" s="65">
        <v>10</v>
      </c>
      <c r="AA61" s="65">
        <v>3</v>
      </c>
      <c r="AB61" s="65">
        <v>24</v>
      </c>
    </row>
    <row r="62" spans="1:28" x14ac:dyDescent="0.3">
      <c r="A62">
        <v>5</v>
      </c>
      <c r="B62">
        <v>2</v>
      </c>
      <c r="C62">
        <v>1</v>
      </c>
      <c r="D62">
        <v>5</v>
      </c>
      <c r="E62">
        <v>1</v>
      </c>
      <c r="F62">
        <v>2</v>
      </c>
      <c r="G62">
        <v>5</v>
      </c>
      <c r="H62">
        <v>5</v>
      </c>
      <c r="I62">
        <v>4</v>
      </c>
      <c r="J62">
        <v>3</v>
      </c>
      <c r="K62">
        <v>4</v>
      </c>
      <c r="L62">
        <v>1</v>
      </c>
      <c r="N62">
        <v>5</v>
      </c>
      <c r="O62">
        <v>5</v>
      </c>
      <c r="P62">
        <v>5</v>
      </c>
      <c r="Q62">
        <v>4</v>
      </c>
      <c r="R62">
        <v>3</v>
      </c>
      <c r="S62">
        <v>4</v>
      </c>
      <c r="T62">
        <v>1</v>
      </c>
      <c r="V62" s="82">
        <v>3</v>
      </c>
      <c r="W62" s="65">
        <v>2</v>
      </c>
      <c r="X62" s="65">
        <v>10</v>
      </c>
      <c r="Y62" s="65">
        <v>16</v>
      </c>
      <c r="Z62" s="65">
        <v>9</v>
      </c>
      <c r="AA62" s="65">
        <v>8</v>
      </c>
      <c r="AB62" s="65">
        <v>45</v>
      </c>
    </row>
    <row r="63" spans="1:28" x14ac:dyDescent="0.3">
      <c r="A63">
        <v>2</v>
      </c>
      <c r="B63">
        <v>2</v>
      </c>
      <c r="C63">
        <v>1</v>
      </c>
      <c r="D63">
        <v>2</v>
      </c>
      <c r="E63">
        <v>1</v>
      </c>
      <c r="F63">
        <v>3</v>
      </c>
      <c r="G63">
        <v>2</v>
      </c>
      <c r="H63">
        <v>5</v>
      </c>
      <c r="I63">
        <v>3</v>
      </c>
      <c r="J63">
        <v>3</v>
      </c>
      <c r="K63">
        <v>4</v>
      </c>
      <c r="L63">
        <v>2</v>
      </c>
      <c r="N63">
        <v>2</v>
      </c>
      <c r="O63">
        <v>2</v>
      </c>
      <c r="P63">
        <v>5</v>
      </c>
      <c r="Q63">
        <v>3</v>
      </c>
      <c r="R63">
        <v>3</v>
      </c>
      <c r="S63">
        <v>4</v>
      </c>
      <c r="T63">
        <v>2</v>
      </c>
      <c r="V63" s="82">
        <v>4</v>
      </c>
      <c r="W63" s="65"/>
      <c r="X63" s="65">
        <v>6</v>
      </c>
      <c r="Y63" s="65">
        <v>8</v>
      </c>
      <c r="Z63" s="65">
        <v>6</v>
      </c>
      <c r="AA63" s="65">
        <v>2</v>
      </c>
      <c r="AB63" s="65">
        <v>22</v>
      </c>
    </row>
    <row r="64" spans="1:28" x14ac:dyDescent="0.3">
      <c r="A64">
        <v>5</v>
      </c>
      <c r="B64">
        <v>2</v>
      </c>
      <c r="C64">
        <v>3</v>
      </c>
      <c r="D64">
        <v>4</v>
      </c>
      <c r="E64">
        <v>3</v>
      </c>
      <c r="F64">
        <v>2</v>
      </c>
      <c r="G64">
        <v>4</v>
      </c>
      <c r="H64">
        <v>4</v>
      </c>
      <c r="I64">
        <v>5</v>
      </c>
      <c r="J64">
        <v>4</v>
      </c>
      <c r="K64">
        <v>4</v>
      </c>
      <c r="L64">
        <v>5</v>
      </c>
      <c r="N64">
        <v>5</v>
      </c>
      <c r="O64">
        <v>4</v>
      </c>
      <c r="P64">
        <v>4</v>
      </c>
      <c r="Q64">
        <v>5</v>
      </c>
      <c r="R64">
        <v>4</v>
      </c>
      <c r="S64">
        <v>4</v>
      </c>
      <c r="T64">
        <v>5</v>
      </c>
      <c r="V64" s="82">
        <v>5</v>
      </c>
      <c r="W64" s="65">
        <v>3</v>
      </c>
      <c r="X64" s="65">
        <v>7</v>
      </c>
      <c r="Y64" s="65">
        <v>10</v>
      </c>
      <c r="Z64" s="65">
        <v>11</v>
      </c>
      <c r="AA64" s="65">
        <v>4</v>
      </c>
      <c r="AB64" s="65">
        <v>35</v>
      </c>
    </row>
    <row r="65" spans="1:28" x14ac:dyDescent="0.3">
      <c r="A65">
        <v>2</v>
      </c>
      <c r="B65">
        <v>2</v>
      </c>
      <c r="C65">
        <v>2</v>
      </c>
      <c r="D65">
        <v>1</v>
      </c>
      <c r="E65">
        <v>2</v>
      </c>
      <c r="F65">
        <v>2</v>
      </c>
      <c r="G65">
        <v>4</v>
      </c>
      <c r="H65">
        <v>5</v>
      </c>
      <c r="I65">
        <v>5</v>
      </c>
      <c r="J65">
        <v>3</v>
      </c>
      <c r="K65">
        <v>5</v>
      </c>
      <c r="L65">
        <v>4</v>
      </c>
      <c r="N65">
        <v>2</v>
      </c>
      <c r="O65">
        <v>4</v>
      </c>
      <c r="P65">
        <v>5</v>
      </c>
      <c r="Q65">
        <v>5</v>
      </c>
      <c r="R65">
        <v>3</v>
      </c>
      <c r="S65">
        <v>5</v>
      </c>
      <c r="T65">
        <v>4</v>
      </c>
      <c r="V65" s="82">
        <v>6</v>
      </c>
      <c r="W65" s="65"/>
      <c r="X65" s="65">
        <v>1</v>
      </c>
      <c r="Y65" s="65">
        <v>3</v>
      </c>
      <c r="Z65" s="65">
        <v>4</v>
      </c>
      <c r="AA65" s="65">
        <v>2</v>
      </c>
      <c r="AB65" s="65">
        <v>10</v>
      </c>
    </row>
    <row r="66" spans="1:28" x14ac:dyDescent="0.3">
      <c r="A66">
        <v>2</v>
      </c>
      <c r="B66">
        <v>2</v>
      </c>
      <c r="C66">
        <v>2</v>
      </c>
      <c r="D66">
        <v>1</v>
      </c>
      <c r="E66">
        <v>2</v>
      </c>
      <c r="F66">
        <v>2</v>
      </c>
      <c r="G66">
        <v>4</v>
      </c>
      <c r="H66">
        <v>5</v>
      </c>
      <c r="I66">
        <v>5</v>
      </c>
      <c r="J66">
        <v>3</v>
      </c>
      <c r="K66">
        <v>5</v>
      </c>
      <c r="L66">
        <v>3</v>
      </c>
      <c r="N66">
        <v>2</v>
      </c>
      <c r="O66">
        <v>4</v>
      </c>
      <c r="P66">
        <v>5</v>
      </c>
      <c r="Q66">
        <v>5</v>
      </c>
      <c r="R66">
        <v>3</v>
      </c>
      <c r="S66">
        <v>5</v>
      </c>
      <c r="T66">
        <v>3</v>
      </c>
      <c r="V66" s="82" t="s">
        <v>266</v>
      </c>
      <c r="W66" s="65">
        <v>5</v>
      </c>
      <c r="X66" s="65">
        <v>29</v>
      </c>
      <c r="Y66" s="65">
        <v>43</v>
      </c>
      <c r="Z66" s="65">
        <v>40</v>
      </c>
      <c r="AA66" s="65">
        <v>19</v>
      </c>
      <c r="AB66" s="65">
        <v>136</v>
      </c>
    </row>
    <row r="67" spans="1:28" x14ac:dyDescent="0.3">
      <c r="A67">
        <v>3</v>
      </c>
      <c r="B67">
        <v>2</v>
      </c>
      <c r="C67">
        <v>2</v>
      </c>
      <c r="D67">
        <v>2</v>
      </c>
      <c r="E67">
        <v>2</v>
      </c>
      <c r="F67">
        <v>2</v>
      </c>
      <c r="G67">
        <v>4</v>
      </c>
      <c r="H67">
        <v>5</v>
      </c>
      <c r="I67">
        <v>3</v>
      </c>
      <c r="J67">
        <v>2</v>
      </c>
      <c r="K67">
        <v>4</v>
      </c>
      <c r="L67">
        <v>3</v>
      </c>
      <c r="N67">
        <v>3</v>
      </c>
      <c r="O67">
        <v>4</v>
      </c>
      <c r="P67">
        <v>5</v>
      </c>
      <c r="Q67">
        <v>3</v>
      </c>
      <c r="R67">
        <v>2</v>
      </c>
      <c r="S67">
        <v>4</v>
      </c>
      <c r="T67">
        <v>3</v>
      </c>
    </row>
    <row r="68" spans="1:28" x14ac:dyDescent="0.3">
      <c r="A68">
        <v>4</v>
      </c>
      <c r="B68">
        <v>2</v>
      </c>
      <c r="C68">
        <v>2</v>
      </c>
      <c r="D68">
        <v>4</v>
      </c>
      <c r="E68">
        <v>2</v>
      </c>
      <c r="F68">
        <v>2</v>
      </c>
      <c r="G68">
        <v>4</v>
      </c>
      <c r="H68">
        <v>5</v>
      </c>
      <c r="I68">
        <v>4</v>
      </c>
      <c r="J68">
        <v>3</v>
      </c>
      <c r="K68">
        <v>4</v>
      </c>
      <c r="L68">
        <v>5</v>
      </c>
      <c r="N68">
        <v>4</v>
      </c>
      <c r="O68">
        <v>4</v>
      </c>
      <c r="P68">
        <v>5</v>
      </c>
      <c r="Q68">
        <v>4</v>
      </c>
      <c r="R68">
        <v>3</v>
      </c>
      <c r="S68">
        <v>4</v>
      </c>
      <c r="T68">
        <v>5</v>
      </c>
    </row>
    <row r="69" spans="1:28" x14ac:dyDescent="0.3">
      <c r="A69">
        <v>4</v>
      </c>
      <c r="B69">
        <v>2</v>
      </c>
      <c r="C69">
        <v>2</v>
      </c>
      <c r="D69">
        <v>1</v>
      </c>
      <c r="E69">
        <v>3</v>
      </c>
      <c r="F69">
        <v>2</v>
      </c>
      <c r="G69">
        <v>4</v>
      </c>
      <c r="H69">
        <v>4</v>
      </c>
      <c r="I69">
        <v>3</v>
      </c>
      <c r="J69">
        <v>4</v>
      </c>
      <c r="K69">
        <v>3</v>
      </c>
      <c r="L69">
        <v>2</v>
      </c>
      <c r="N69">
        <v>4</v>
      </c>
      <c r="O69">
        <v>4</v>
      </c>
      <c r="P69">
        <v>4</v>
      </c>
      <c r="Q69">
        <v>3</v>
      </c>
      <c r="R69">
        <v>4</v>
      </c>
      <c r="S69">
        <v>3</v>
      </c>
      <c r="T69">
        <v>2</v>
      </c>
    </row>
    <row r="70" spans="1:28" x14ac:dyDescent="0.3">
      <c r="A70">
        <v>2</v>
      </c>
      <c r="B70">
        <v>2</v>
      </c>
      <c r="C70">
        <v>2</v>
      </c>
      <c r="D70">
        <v>1</v>
      </c>
      <c r="E70">
        <v>2</v>
      </c>
      <c r="F70">
        <v>3</v>
      </c>
      <c r="G70">
        <v>5</v>
      </c>
      <c r="H70">
        <v>5</v>
      </c>
      <c r="I70">
        <v>4</v>
      </c>
      <c r="J70">
        <v>3</v>
      </c>
      <c r="K70">
        <v>5</v>
      </c>
      <c r="L70">
        <v>4</v>
      </c>
      <c r="N70">
        <v>2</v>
      </c>
      <c r="O70">
        <v>5</v>
      </c>
      <c r="P70">
        <v>5</v>
      </c>
      <c r="Q70">
        <v>4</v>
      </c>
      <c r="R70">
        <v>3</v>
      </c>
      <c r="S70">
        <v>5</v>
      </c>
      <c r="T70">
        <v>4</v>
      </c>
    </row>
    <row r="71" spans="1:28" x14ac:dyDescent="0.3">
      <c r="A71">
        <v>5</v>
      </c>
      <c r="B71">
        <v>2</v>
      </c>
      <c r="C71">
        <v>1</v>
      </c>
      <c r="D71">
        <v>5</v>
      </c>
      <c r="E71">
        <v>1</v>
      </c>
      <c r="F71">
        <v>2</v>
      </c>
      <c r="G71">
        <v>4</v>
      </c>
      <c r="H71">
        <v>5</v>
      </c>
      <c r="I71">
        <v>5</v>
      </c>
      <c r="J71">
        <v>4</v>
      </c>
      <c r="K71">
        <v>4</v>
      </c>
      <c r="L71">
        <v>4</v>
      </c>
      <c r="N71">
        <v>5</v>
      </c>
      <c r="O71">
        <v>4</v>
      </c>
      <c r="P71">
        <v>5</v>
      </c>
      <c r="Q71">
        <v>5</v>
      </c>
      <c r="R71">
        <v>4</v>
      </c>
      <c r="S71">
        <v>4</v>
      </c>
      <c r="T71">
        <v>4</v>
      </c>
    </row>
    <row r="72" spans="1:28" x14ac:dyDescent="0.3">
      <c r="A72">
        <v>3</v>
      </c>
      <c r="B72">
        <v>2</v>
      </c>
      <c r="C72">
        <v>2</v>
      </c>
      <c r="D72">
        <v>2</v>
      </c>
      <c r="E72">
        <v>2</v>
      </c>
      <c r="F72">
        <v>2</v>
      </c>
      <c r="G72">
        <v>4</v>
      </c>
      <c r="H72">
        <v>4</v>
      </c>
      <c r="I72">
        <v>4</v>
      </c>
      <c r="J72">
        <v>3</v>
      </c>
      <c r="K72">
        <v>4</v>
      </c>
      <c r="L72">
        <v>3</v>
      </c>
      <c r="N72">
        <v>3</v>
      </c>
      <c r="O72">
        <v>4</v>
      </c>
      <c r="P72">
        <v>4</v>
      </c>
      <c r="Q72">
        <v>4</v>
      </c>
      <c r="R72">
        <v>3</v>
      </c>
      <c r="S72">
        <v>4</v>
      </c>
      <c r="T72">
        <v>3</v>
      </c>
    </row>
    <row r="73" spans="1:28" x14ac:dyDescent="0.3">
      <c r="A73">
        <v>5</v>
      </c>
      <c r="B73">
        <v>1</v>
      </c>
      <c r="C73">
        <v>2</v>
      </c>
      <c r="D73">
        <v>3</v>
      </c>
      <c r="E73">
        <v>2</v>
      </c>
      <c r="F73">
        <v>2</v>
      </c>
      <c r="G73">
        <v>4</v>
      </c>
      <c r="H73">
        <v>4</v>
      </c>
      <c r="I73">
        <v>4</v>
      </c>
      <c r="J73">
        <v>3</v>
      </c>
      <c r="K73">
        <v>2</v>
      </c>
      <c r="L73">
        <v>4</v>
      </c>
      <c r="N73">
        <v>5</v>
      </c>
      <c r="O73">
        <v>4</v>
      </c>
      <c r="P73">
        <v>4</v>
      </c>
      <c r="Q73">
        <v>4</v>
      </c>
      <c r="R73">
        <v>3</v>
      </c>
      <c r="S73">
        <v>2</v>
      </c>
      <c r="T73">
        <v>4</v>
      </c>
    </row>
    <row r="74" spans="1:28" x14ac:dyDescent="0.3">
      <c r="A74">
        <v>2</v>
      </c>
      <c r="B74">
        <v>2</v>
      </c>
      <c r="C74">
        <v>2</v>
      </c>
      <c r="D74">
        <v>1</v>
      </c>
      <c r="E74">
        <v>2</v>
      </c>
      <c r="F74">
        <v>2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N74">
        <v>2</v>
      </c>
      <c r="O74">
        <v>5</v>
      </c>
      <c r="P74">
        <v>5</v>
      </c>
      <c r="Q74">
        <v>5</v>
      </c>
      <c r="R74">
        <v>5</v>
      </c>
      <c r="S74">
        <v>5</v>
      </c>
      <c r="T74">
        <v>5</v>
      </c>
    </row>
    <row r="75" spans="1:28" x14ac:dyDescent="0.3">
      <c r="A75">
        <v>2</v>
      </c>
      <c r="B75">
        <v>2</v>
      </c>
      <c r="C75">
        <v>2</v>
      </c>
      <c r="D75">
        <v>1</v>
      </c>
      <c r="E75">
        <v>2</v>
      </c>
      <c r="F75">
        <v>2</v>
      </c>
      <c r="G75">
        <v>4</v>
      </c>
      <c r="H75">
        <v>4</v>
      </c>
      <c r="I75">
        <v>4</v>
      </c>
      <c r="J75">
        <v>3</v>
      </c>
      <c r="K75">
        <v>4</v>
      </c>
      <c r="L75">
        <v>2</v>
      </c>
      <c r="N75">
        <v>2</v>
      </c>
      <c r="O75">
        <v>4</v>
      </c>
      <c r="P75">
        <v>4</v>
      </c>
      <c r="Q75">
        <v>4</v>
      </c>
      <c r="R75">
        <v>3</v>
      </c>
      <c r="S75">
        <v>4</v>
      </c>
      <c r="T75">
        <v>2</v>
      </c>
    </row>
    <row r="76" spans="1:28" x14ac:dyDescent="0.3">
      <c r="A76">
        <v>2</v>
      </c>
      <c r="B76">
        <v>2</v>
      </c>
      <c r="C76">
        <v>2</v>
      </c>
      <c r="D76">
        <v>1</v>
      </c>
      <c r="E76">
        <v>2</v>
      </c>
      <c r="F76">
        <v>2</v>
      </c>
      <c r="G76">
        <v>3</v>
      </c>
      <c r="H76">
        <v>5</v>
      </c>
      <c r="I76">
        <v>4</v>
      </c>
      <c r="J76">
        <v>4</v>
      </c>
      <c r="K76">
        <v>4</v>
      </c>
      <c r="L76">
        <v>3</v>
      </c>
      <c r="N76">
        <v>2</v>
      </c>
      <c r="O76">
        <v>3</v>
      </c>
      <c r="P76">
        <v>5</v>
      </c>
      <c r="Q76">
        <v>4</v>
      </c>
      <c r="R76">
        <v>4</v>
      </c>
      <c r="S76">
        <v>4</v>
      </c>
      <c r="T76">
        <v>3</v>
      </c>
    </row>
    <row r="77" spans="1:28" x14ac:dyDescent="0.3">
      <c r="A77">
        <v>2</v>
      </c>
      <c r="B77">
        <v>2</v>
      </c>
      <c r="C77">
        <v>2</v>
      </c>
      <c r="D77">
        <v>1</v>
      </c>
      <c r="E77">
        <v>2</v>
      </c>
      <c r="F77">
        <v>2</v>
      </c>
      <c r="G77">
        <v>4</v>
      </c>
      <c r="H77">
        <v>4</v>
      </c>
      <c r="I77">
        <v>4</v>
      </c>
      <c r="J77">
        <v>4</v>
      </c>
      <c r="K77">
        <v>4</v>
      </c>
      <c r="L77">
        <v>3</v>
      </c>
      <c r="N77">
        <v>2</v>
      </c>
      <c r="O77">
        <v>4</v>
      </c>
      <c r="P77">
        <v>4</v>
      </c>
      <c r="Q77">
        <v>4</v>
      </c>
      <c r="R77">
        <v>4</v>
      </c>
      <c r="S77">
        <v>4</v>
      </c>
      <c r="T77">
        <v>3</v>
      </c>
    </row>
    <row r="78" spans="1:28" x14ac:dyDescent="0.3">
      <c r="A78">
        <v>2</v>
      </c>
      <c r="B78">
        <v>2</v>
      </c>
      <c r="C78">
        <v>2</v>
      </c>
      <c r="D78">
        <v>1</v>
      </c>
      <c r="E78">
        <v>2</v>
      </c>
      <c r="F78">
        <v>1</v>
      </c>
      <c r="G78">
        <v>5</v>
      </c>
      <c r="H78">
        <v>5</v>
      </c>
      <c r="I78">
        <v>4</v>
      </c>
      <c r="J78">
        <v>4</v>
      </c>
      <c r="K78">
        <v>4</v>
      </c>
      <c r="L78">
        <v>4</v>
      </c>
      <c r="N78">
        <v>2</v>
      </c>
      <c r="O78">
        <v>5</v>
      </c>
      <c r="P78">
        <v>5</v>
      </c>
      <c r="Q78">
        <v>4</v>
      </c>
      <c r="R78">
        <v>4</v>
      </c>
      <c r="S78">
        <v>4</v>
      </c>
      <c r="T78">
        <v>4</v>
      </c>
    </row>
    <row r="79" spans="1:28" x14ac:dyDescent="0.3">
      <c r="A79">
        <v>2</v>
      </c>
      <c r="B79">
        <v>1</v>
      </c>
      <c r="C79">
        <v>2</v>
      </c>
      <c r="D79">
        <v>1</v>
      </c>
      <c r="E79">
        <v>2</v>
      </c>
      <c r="F79">
        <v>2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N79">
        <v>2</v>
      </c>
      <c r="O79">
        <v>3</v>
      </c>
      <c r="P79">
        <v>3</v>
      </c>
      <c r="Q79">
        <v>3</v>
      </c>
      <c r="R79">
        <v>3</v>
      </c>
      <c r="S79">
        <v>3</v>
      </c>
      <c r="T79">
        <v>3</v>
      </c>
    </row>
    <row r="80" spans="1:28" x14ac:dyDescent="0.3">
      <c r="A80">
        <v>5</v>
      </c>
      <c r="B80">
        <v>2</v>
      </c>
      <c r="C80">
        <v>1</v>
      </c>
      <c r="D80">
        <v>4</v>
      </c>
      <c r="E80">
        <v>1</v>
      </c>
      <c r="F80">
        <v>2</v>
      </c>
      <c r="G80">
        <v>4</v>
      </c>
      <c r="H80">
        <v>5</v>
      </c>
      <c r="I80">
        <v>5</v>
      </c>
      <c r="J80">
        <v>5</v>
      </c>
      <c r="K80">
        <v>4</v>
      </c>
      <c r="L80">
        <v>5</v>
      </c>
      <c r="N80">
        <v>5</v>
      </c>
      <c r="O80">
        <v>4</v>
      </c>
      <c r="P80">
        <v>5</v>
      </c>
      <c r="Q80">
        <v>5</v>
      </c>
      <c r="R80">
        <v>5</v>
      </c>
      <c r="S80">
        <v>4</v>
      </c>
      <c r="T80">
        <v>5</v>
      </c>
    </row>
    <row r="81" spans="1:20" x14ac:dyDescent="0.3">
      <c r="A81">
        <v>5</v>
      </c>
      <c r="B81">
        <v>2</v>
      </c>
      <c r="C81">
        <v>1</v>
      </c>
      <c r="D81">
        <v>5</v>
      </c>
      <c r="E81">
        <v>1</v>
      </c>
      <c r="F81">
        <v>2</v>
      </c>
      <c r="G81">
        <v>2</v>
      </c>
      <c r="H81">
        <v>4</v>
      </c>
      <c r="I81">
        <v>5</v>
      </c>
      <c r="J81">
        <v>2</v>
      </c>
      <c r="K81">
        <v>2</v>
      </c>
      <c r="L81">
        <v>2</v>
      </c>
      <c r="N81">
        <v>5</v>
      </c>
      <c r="O81">
        <v>2</v>
      </c>
      <c r="P81">
        <v>4</v>
      </c>
      <c r="Q81">
        <v>5</v>
      </c>
      <c r="R81">
        <v>2</v>
      </c>
      <c r="S81">
        <v>2</v>
      </c>
      <c r="T81">
        <v>2</v>
      </c>
    </row>
    <row r="82" spans="1:20" x14ac:dyDescent="0.3">
      <c r="A82">
        <v>3</v>
      </c>
      <c r="B82">
        <v>2</v>
      </c>
      <c r="C82">
        <v>1</v>
      </c>
      <c r="D82">
        <v>4</v>
      </c>
      <c r="E82">
        <v>1</v>
      </c>
      <c r="F82">
        <v>2</v>
      </c>
      <c r="G82">
        <v>5</v>
      </c>
      <c r="H82">
        <v>5</v>
      </c>
      <c r="I82">
        <v>4</v>
      </c>
      <c r="J82">
        <v>4</v>
      </c>
      <c r="K82">
        <v>5</v>
      </c>
      <c r="L82">
        <v>5</v>
      </c>
      <c r="N82">
        <v>3</v>
      </c>
      <c r="O82">
        <v>5</v>
      </c>
      <c r="P82">
        <v>5</v>
      </c>
      <c r="Q82">
        <v>4</v>
      </c>
      <c r="R82">
        <v>4</v>
      </c>
      <c r="S82">
        <v>5</v>
      </c>
      <c r="T82">
        <v>5</v>
      </c>
    </row>
    <row r="83" spans="1:20" x14ac:dyDescent="0.3">
      <c r="A83">
        <v>2</v>
      </c>
      <c r="B83">
        <v>2</v>
      </c>
      <c r="C83">
        <v>2</v>
      </c>
      <c r="D83">
        <v>2</v>
      </c>
      <c r="E83">
        <v>2</v>
      </c>
      <c r="F83">
        <v>3</v>
      </c>
      <c r="G83">
        <v>4</v>
      </c>
      <c r="H83">
        <v>4</v>
      </c>
      <c r="I83">
        <v>4</v>
      </c>
      <c r="J83">
        <v>2</v>
      </c>
      <c r="K83">
        <v>3</v>
      </c>
      <c r="L83">
        <v>5</v>
      </c>
      <c r="N83">
        <v>2</v>
      </c>
      <c r="O83">
        <v>4</v>
      </c>
      <c r="P83">
        <v>4</v>
      </c>
      <c r="Q83">
        <v>4</v>
      </c>
      <c r="R83">
        <v>2</v>
      </c>
      <c r="S83">
        <v>3</v>
      </c>
      <c r="T83">
        <v>5</v>
      </c>
    </row>
    <row r="84" spans="1:20" x14ac:dyDescent="0.3">
      <c r="A84">
        <v>2</v>
      </c>
      <c r="B84">
        <v>2</v>
      </c>
      <c r="C84">
        <v>1</v>
      </c>
      <c r="D84">
        <v>2</v>
      </c>
      <c r="E84">
        <v>2</v>
      </c>
      <c r="F84">
        <v>3</v>
      </c>
      <c r="G84">
        <v>3</v>
      </c>
      <c r="H84">
        <v>4</v>
      </c>
      <c r="I84">
        <v>4</v>
      </c>
      <c r="J84">
        <v>3</v>
      </c>
      <c r="K84">
        <v>3</v>
      </c>
      <c r="L84">
        <v>4</v>
      </c>
      <c r="N84">
        <v>2</v>
      </c>
      <c r="O84">
        <v>3</v>
      </c>
      <c r="P84">
        <v>4</v>
      </c>
      <c r="Q84">
        <v>4</v>
      </c>
      <c r="R84">
        <v>3</v>
      </c>
      <c r="S84">
        <v>3</v>
      </c>
      <c r="T84">
        <v>4</v>
      </c>
    </row>
    <row r="85" spans="1:20" x14ac:dyDescent="0.3">
      <c r="A85">
        <v>2</v>
      </c>
      <c r="B85">
        <v>2</v>
      </c>
      <c r="C85">
        <v>2</v>
      </c>
      <c r="D85">
        <v>2</v>
      </c>
      <c r="E85">
        <v>2</v>
      </c>
      <c r="F85">
        <v>2</v>
      </c>
      <c r="G85">
        <v>4</v>
      </c>
      <c r="H85">
        <v>4</v>
      </c>
      <c r="I85">
        <v>5</v>
      </c>
      <c r="J85">
        <v>3</v>
      </c>
      <c r="K85">
        <v>4</v>
      </c>
      <c r="L85">
        <v>4</v>
      </c>
      <c r="N85">
        <v>2</v>
      </c>
      <c r="O85">
        <v>4</v>
      </c>
      <c r="P85">
        <v>4</v>
      </c>
      <c r="Q85">
        <v>5</v>
      </c>
      <c r="R85">
        <v>3</v>
      </c>
      <c r="S85">
        <v>4</v>
      </c>
      <c r="T85">
        <v>4</v>
      </c>
    </row>
    <row r="86" spans="1:20" x14ac:dyDescent="0.3">
      <c r="A86">
        <v>6</v>
      </c>
      <c r="B86">
        <v>2</v>
      </c>
      <c r="C86">
        <v>3</v>
      </c>
      <c r="D86">
        <v>5</v>
      </c>
      <c r="E86">
        <v>4</v>
      </c>
      <c r="F86">
        <v>2</v>
      </c>
      <c r="G86">
        <v>3</v>
      </c>
      <c r="H86">
        <v>4</v>
      </c>
      <c r="I86">
        <v>4</v>
      </c>
      <c r="J86">
        <v>4</v>
      </c>
      <c r="K86">
        <v>4</v>
      </c>
      <c r="L86">
        <v>5</v>
      </c>
      <c r="N86">
        <v>6</v>
      </c>
      <c r="O86">
        <v>3</v>
      </c>
      <c r="P86">
        <v>4</v>
      </c>
      <c r="Q86">
        <v>4</v>
      </c>
      <c r="R86">
        <v>4</v>
      </c>
      <c r="S86">
        <v>4</v>
      </c>
      <c r="T86">
        <v>5</v>
      </c>
    </row>
    <row r="87" spans="1:20" x14ac:dyDescent="0.3">
      <c r="A87">
        <v>6</v>
      </c>
      <c r="B87">
        <v>2</v>
      </c>
      <c r="C87">
        <v>1</v>
      </c>
      <c r="D87">
        <v>5</v>
      </c>
      <c r="E87">
        <v>2</v>
      </c>
      <c r="F87">
        <v>2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  <c r="N87">
        <v>6</v>
      </c>
      <c r="O87">
        <v>4</v>
      </c>
      <c r="P87">
        <v>4</v>
      </c>
      <c r="Q87">
        <v>4</v>
      </c>
      <c r="R87">
        <v>4</v>
      </c>
      <c r="S87">
        <v>4</v>
      </c>
      <c r="T87">
        <v>4</v>
      </c>
    </row>
    <row r="88" spans="1:20" x14ac:dyDescent="0.3">
      <c r="A88">
        <v>3</v>
      </c>
      <c r="B88">
        <v>2</v>
      </c>
      <c r="C88">
        <v>1</v>
      </c>
      <c r="D88">
        <v>2</v>
      </c>
      <c r="E88">
        <v>1</v>
      </c>
      <c r="F88">
        <v>2</v>
      </c>
      <c r="G88">
        <v>5</v>
      </c>
      <c r="H88">
        <v>5</v>
      </c>
      <c r="I88">
        <v>4</v>
      </c>
      <c r="J88">
        <v>4</v>
      </c>
      <c r="K88">
        <v>5</v>
      </c>
      <c r="L88">
        <v>4</v>
      </c>
      <c r="N88">
        <v>3</v>
      </c>
      <c r="O88">
        <v>5</v>
      </c>
      <c r="P88">
        <v>5</v>
      </c>
      <c r="Q88">
        <v>4</v>
      </c>
      <c r="R88">
        <v>4</v>
      </c>
      <c r="S88">
        <v>5</v>
      </c>
      <c r="T88">
        <v>4</v>
      </c>
    </row>
    <row r="89" spans="1:20" x14ac:dyDescent="0.3">
      <c r="A89">
        <v>6</v>
      </c>
      <c r="B89">
        <v>2</v>
      </c>
      <c r="C89">
        <v>3</v>
      </c>
      <c r="D89">
        <v>5</v>
      </c>
      <c r="E89">
        <v>4</v>
      </c>
      <c r="F89">
        <v>2</v>
      </c>
      <c r="G89">
        <v>4</v>
      </c>
      <c r="H89">
        <v>4</v>
      </c>
      <c r="I89">
        <v>4</v>
      </c>
      <c r="J89">
        <v>4</v>
      </c>
      <c r="K89">
        <v>4</v>
      </c>
      <c r="L89">
        <v>3</v>
      </c>
      <c r="N89">
        <v>6</v>
      </c>
      <c r="O89">
        <v>4</v>
      </c>
      <c r="P89">
        <v>4</v>
      </c>
      <c r="Q89">
        <v>4</v>
      </c>
      <c r="R89">
        <v>4</v>
      </c>
      <c r="S89">
        <v>4</v>
      </c>
      <c r="T89">
        <v>3</v>
      </c>
    </row>
    <row r="90" spans="1:20" x14ac:dyDescent="0.3">
      <c r="A90">
        <v>3</v>
      </c>
      <c r="B90">
        <v>2</v>
      </c>
      <c r="C90">
        <v>2</v>
      </c>
      <c r="D90">
        <v>3</v>
      </c>
      <c r="E90">
        <v>2</v>
      </c>
      <c r="F90">
        <v>1</v>
      </c>
      <c r="G90">
        <v>3</v>
      </c>
      <c r="H90">
        <v>4</v>
      </c>
      <c r="I90">
        <v>5</v>
      </c>
      <c r="J90">
        <v>3</v>
      </c>
      <c r="K90">
        <v>2</v>
      </c>
      <c r="L90">
        <v>3</v>
      </c>
      <c r="N90">
        <v>3</v>
      </c>
      <c r="O90">
        <v>3</v>
      </c>
      <c r="P90">
        <v>4</v>
      </c>
      <c r="Q90">
        <v>5</v>
      </c>
      <c r="R90">
        <v>3</v>
      </c>
      <c r="S90">
        <v>2</v>
      </c>
      <c r="T90">
        <v>3</v>
      </c>
    </row>
    <row r="91" spans="1:20" x14ac:dyDescent="0.3">
      <c r="A91">
        <v>3</v>
      </c>
      <c r="B91">
        <v>2</v>
      </c>
      <c r="C91">
        <v>2</v>
      </c>
      <c r="D91">
        <v>3</v>
      </c>
      <c r="E91">
        <v>2</v>
      </c>
      <c r="F91">
        <v>2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  <c r="N91">
        <v>3</v>
      </c>
      <c r="O91">
        <v>4</v>
      </c>
      <c r="P91">
        <v>4</v>
      </c>
      <c r="Q91">
        <v>4</v>
      </c>
      <c r="R91">
        <v>4</v>
      </c>
      <c r="S91">
        <v>4</v>
      </c>
      <c r="T91">
        <v>4</v>
      </c>
    </row>
    <row r="92" spans="1:20" x14ac:dyDescent="0.3">
      <c r="A92">
        <v>3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5</v>
      </c>
      <c r="I92">
        <v>5</v>
      </c>
      <c r="J92">
        <v>2</v>
      </c>
      <c r="K92">
        <v>3</v>
      </c>
      <c r="L92">
        <v>3</v>
      </c>
      <c r="N92">
        <v>3</v>
      </c>
      <c r="O92">
        <v>2</v>
      </c>
      <c r="P92">
        <v>5</v>
      </c>
      <c r="Q92">
        <v>5</v>
      </c>
      <c r="R92">
        <v>2</v>
      </c>
      <c r="S92">
        <v>3</v>
      </c>
      <c r="T92">
        <v>3</v>
      </c>
    </row>
    <row r="93" spans="1:20" x14ac:dyDescent="0.3">
      <c r="A93">
        <v>3</v>
      </c>
      <c r="B93">
        <v>2</v>
      </c>
      <c r="C93">
        <v>2</v>
      </c>
      <c r="D93">
        <v>2</v>
      </c>
      <c r="E93">
        <v>2</v>
      </c>
      <c r="F93">
        <v>2</v>
      </c>
      <c r="G93">
        <v>3</v>
      </c>
      <c r="H93">
        <v>5</v>
      </c>
      <c r="I93">
        <v>4</v>
      </c>
      <c r="J93">
        <v>3</v>
      </c>
      <c r="K93">
        <v>4</v>
      </c>
      <c r="L93">
        <v>3</v>
      </c>
      <c r="N93">
        <v>3</v>
      </c>
      <c r="O93">
        <v>3</v>
      </c>
      <c r="P93">
        <v>5</v>
      </c>
      <c r="Q93">
        <v>4</v>
      </c>
      <c r="R93">
        <v>3</v>
      </c>
      <c r="S93">
        <v>4</v>
      </c>
      <c r="T93">
        <v>3</v>
      </c>
    </row>
    <row r="94" spans="1:20" x14ac:dyDescent="0.3">
      <c r="A94">
        <v>4</v>
      </c>
      <c r="B94">
        <v>2</v>
      </c>
      <c r="C94">
        <v>2</v>
      </c>
      <c r="D94">
        <v>4</v>
      </c>
      <c r="E94">
        <v>2</v>
      </c>
      <c r="F94">
        <v>3</v>
      </c>
      <c r="G94">
        <v>5</v>
      </c>
      <c r="H94">
        <v>4</v>
      </c>
      <c r="I94">
        <v>4</v>
      </c>
      <c r="J94">
        <v>4</v>
      </c>
      <c r="K94">
        <v>4</v>
      </c>
      <c r="L94">
        <v>2</v>
      </c>
      <c r="N94">
        <v>4</v>
      </c>
      <c r="O94">
        <v>5</v>
      </c>
      <c r="P94">
        <v>4</v>
      </c>
      <c r="Q94">
        <v>4</v>
      </c>
      <c r="R94">
        <v>4</v>
      </c>
      <c r="S94">
        <v>4</v>
      </c>
      <c r="T94">
        <v>2</v>
      </c>
    </row>
    <row r="95" spans="1:20" x14ac:dyDescent="0.3">
      <c r="A95">
        <v>4</v>
      </c>
      <c r="B95">
        <v>2</v>
      </c>
      <c r="C95">
        <v>3</v>
      </c>
      <c r="D95">
        <v>5</v>
      </c>
      <c r="E95">
        <v>4</v>
      </c>
      <c r="F95">
        <v>3</v>
      </c>
      <c r="G95">
        <v>4</v>
      </c>
      <c r="H95">
        <v>4</v>
      </c>
      <c r="I95">
        <v>5</v>
      </c>
      <c r="J95">
        <v>3</v>
      </c>
      <c r="K95">
        <v>4</v>
      </c>
      <c r="L95">
        <v>3</v>
      </c>
      <c r="N95">
        <v>4</v>
      </c>
      <c r="O95">
        <v>4</v>
      </c>
      <c r="P95">
        <v>4</v>
      </c>
      <c r="Q95">
        <v>5</v>
      </c>
      <c r="R95">
        <v>3</v>
      </c>
      <c r="S95">
        <v>4</v>
      </c>
      <c r="T95">
        <v>3</v>
      </c>
    </row>
    <row r="96" spans="1:20" x14ac:dyDescent="0.3">
      <c r="A96">
        <v>2</v>
      </c>
      <c r="B96">
        <v>2</v>
      </c>
      <c r="C96">
        <v>2</v>
      </c>
      <c r="D96">
        <v>2</v>
      </c>
      <c r="E96">
        <v>2</v>
      </c>
      <c r="F96">
        <v>3</v>
      </c>
      <c r="G96">
        <v>3</v>
      </c>
      <c r="H96">
        <v>5</v>
      </c>
      <c r="I96">
        <v>3</v>
      </c>
      <c r="J96">
        <v>4</v>
      </c>
      <c r="K96">
        <v>5</v>
      </c>
      <c r="L96">
        <v>2</v>
      </c>
      <c r="N96">
        <v>2</v>
      </c>
      <c r="O96">
        <v>3</v>
      </c>
      <c r="P96">
        <v>5</v>
      </c>
      <c r="Q96">
        <v>3</v>
      </c>
      <c r="R96">
        <v>4</v>
      </c>
      <c r="S96">
        <v>5</v>
      </c>
      <c r="T96">
        <v>2</v>
      </c>
    </row>
    <row r="97" spans="1:20" x14ac:dyDescent="0.3">
      <c r="A97">
        <v>4</v>
      </c>
      <c r="B97">
        <v>2</v>
      </c>
      <c r="C97">
        <v>3</v>
      </c>
      <c r="D97">
        <v>5</v>
      </c>
      <c r="E97">
        <v>4</v>
      </c>
      <c r="F97">
        <v>2</v>
      </c>
      <c r="G97">
        <v>2</v>
      </c>
      <c r="H97">
        <v>4</v>
      </c>
      <c r="I97">
        <v>4</v>
      </c>
      <c r="J97">
        <v>2</v>
      </c>
      <c r="K97">
        <v>2</v>
      </c>
      <c r="L97">
        <v>4</v>
      </c>
      <c r="N97">
        <v>4</v>
      </c>
      <c r="O97">
        <v>2</v>
      </c>
      <c r="P97">
        <v>4</v>
      </c>
      <c r="Q97">
        <v>4</v>
      </c>
      <c r="R97">
        <v>2</v>
      </c>
      <c r="S97">
        <v>2</v>
      </c>
      <c r="T97">
        <v>4</v>
      </c>
    </row>
    <row r="98" spans="1:20" x14ac:dyDescent="0.3">
      <c r="A98">
        <v>3</v>
      </c>
      <c r="B98">
        <v>2</v>
      </c>
      <c r="C98">
        <v>2</v>
      </c>
      <c r="D98">
        <v>1</v>
      </c>
      <c r="E98">
        <v>2</v>
      </c>
      <c r="F98">
        <v>2</v>
      </c>
      <c r="G98">
        <v>5</v>
      </c>
      <c r="H98">
        <v>5</v>
      </c>
      <c r="I98">
        <v>5</v>
      </c>
      <c r="J98">
        <v>4</v>
      </c>
      <c r="K98">
        <v>4</v>
      </c>
      <c r="L98">
        <v>5</v>
      </c>
      <c r="N98">
        <v>3</v>
      </c>
      <c r="O98">
        <v>5</v>
      </c>
      <c r="P98">
        <v>5</v>
      </c>
      <c r="Q98">
        <v>5</v>
      </c>
      <c r="R98">
        <v>4</v>
      </c>
      <c r="S98">
        <v>4</v>
      </c>
      <c r="T98">
        <v>5</v>
      </c>
    </row>
    <row r="99" spans="1:20" x14ac:dyDescent="0.3">
      <c r="A99">
        <v>3</v>
      </c>
      <c r="B99">
        <v>2</v>
      </c>
      <c r="C99">
        <v>2</v>
      </c>
      <c r="D99">
        <v>2</v>
      </c>
      <c r="E99">
        <v>2</v>
      </c>
      <c r="F99">
        <v>2</v>
      </c>
      <c r="G99">
        <v>4</v>
      </c>
      <c r="H99">
        <v>4</v>
      </c>
      <c r="I99">
        <v>4</v>
      </c>
      <c r="J99">
        <v>3</v>
      </c>
      <c r="K99">
        <v>4</v>
      </c>
      <c r="L99">
        <v>4</v>
      </c>
      <c r="N99">
        <v>3</v>
      </c>
      <c r="O99">
        <v>4</v>
      </c>
      <c r="P99">
        <v>4</v>
      </c>
      <c r="Q99">
        <v>4</v>
      </c>
      <c r="R99">
        <v>3</v>
      </c>
      <c r="S99">
        <v>4</v>
      </c>
      <c r="T99">
        <v>4</v>
      </c>
    </row>
    <row r="100" spans="1:20" x14ac:dyDescent="0.3">
      <c r="A100">
        <v>4</v>
      </c>
      <c r="B100">
        <v>2</v>
      </c>
      <c r="C100">
        <v>2</v>
      </c>
      <c r="D100">
        <v>4</v>
      </c>
      <c r="E100">
        <v>4</v>
      </c>
      <c r="F100">
        <v>2</v>
      </c>
      <c r="G100">
        <v>3</v>
      </c>
      <c r="H100">
        <v>2</v>
      </c>
      <c r="I100">
        <v>4</v>
      </c>
      <c r="J100">
        <v>2</v>
      </c>
      <c r="K100">
        <v>2</v>
      </c>
      <c r="L100">
        <v>4</v>
      </c>
      <c r="N100">
        <v>4</v>
      </c>
      <c r="O100">
        <v>3</v>
      </c>
      <c r="P100">
        <v>2</v>
      </c>
      <c r="Q100">
        <v>4</v>
      </c>
      <c r="R100">
        <v>2</v>
      </c>
      <c r="S100">
        <v>2</v>
      </c>
      <c r="T100">
        <v>4</v>
      </c>
    </row>
    <row r="101" spans="1:20" x14ac:dyDescent="0.3">
      <c r="A101">
        <v>3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4</v>
      </c>
      <c r="H101">
        <v>4</v>
      </c>
      <c r="I101">
        <v>5</v>
      </c>
      <c r="J101">
        <v>4</v>
      </c>
      <c r="K101">
        <v>4</v>
      </c>
      <c r="L101">
        <v>2</v>
      </c>
      <c r="N101">
        <v>3</v>
      </c>
      <c r="O101">
        <v>4</v>
      </c>
      <c r="P101">
        <v>4</v>
      </c>
      <c r="Q101">
        <v>5</v>
      </c>
      <c r="R101">
        <v>4</v>
      </c>
      <c r="S101">
        <v>4</v>
      </c>
      <c r="T101">
        <v>2</v>
      </c>
    </row>
    <row r="102" spans="1:20" x14ac:dyDescent="0.3">
      <c r="A102">
        <v>5</v>
      </c>
      <c r="B102">
        <v>2</v>
      </c>
      <c r="C102">
        <v>3</v>
      </c>
      <c r="D102">
        <v>5</v>
      </c>
      <c r="E102">
        <v>4</v>
      </c>
      <c r="F102">
        <v>2</v>
      </c>
      <c r="G102">
        <v>4</v>
      </c>
      <c r="H102">
        <v>4</v>
      </c>
      <c r="I102">
        <v>3</v>
      </c>
      <c r="J102">
        <v>2</v>
      </c>
      <c r="K102">
        <v>3</v>
      </c>
      <c r="L102">
        <v>3</v>
      </c>
      <c r="N102">
        <v>5</v>
      </c>
      <c r="O102">
        <v>4</v>
      </c>
      <c r="P102">
        <v>4</v>
      </c>
      <c r="Q102">
        <v>3</v>
      </c>
      <c r="R102">
        <v>2</v>
      </c>
      <c r="S102">
        <v>3</v>
      </c>
      <c r="T102">
        <v>3</v>
      </c>
    </row>
    <row r="103" spans="1:20" x14ac:dyDescent="0.3">
      <c r="A103">
        <v>4</v>
      </c>
      <c r="B103">
        <v>2</v>
      </c>
      <c r="C103">
        <v>1</v>
      </c>
      <c r="D103">
        <v>2</v>
      </c>
      <c r="E103">
        <v>1</v>
      </c>
      <c r="F103">
        <v>2</v>
      </c>
      <c r="G103">
        <v>3</v>
      </c>
      <c r="H103">
        <v>4</v>
      </c>
      <c r="I103">
        <v>4</v>
      </c>
      <c r="J103">
        <v>4</v>
      </c>
      <c r="K103">
        <v>3</v>
      </c>
      <c r="L103">
        <v>3</v>
      </c>
      <c r="N103">
        <v>4</v>
      </c>
      <c r="O103">
        <v>3</v>
      </c>
      <c r="P103">
        <v>4</v>
      </c>
      <c r="Q103">
        <v>4</v>
      </c>
      <c r="R103">
        <v>4</v>
      </c>
      <c r="S103">
        <v>3</v>
      </c>
      <c r="T103">
        <v>3</v>
      </c>
    </row>
    <row r="104" spans="1:20" x14ac:dyDescent="0.3">
      <c r="A104">
        <v>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4</v>
      </c>
      <c r="H104">
        <v>3</v>
      </c>
      <c r="I104">
        <v>3</v>
      </c>
      <c r="J104">
        <v>3</v>
      </c>
      <c r="K104">
        <v>2</v>
      </c>
      <c r="L104">
        <v>2</v>
      </c>
      <c r="N104">
        <v>2</v>
      </c>
      <c r="O104">
        <v>4</v>
      </c>
      <c r="P104">
        <v>3</v>
      </c>
      <c r="Q104">
        <v>3</v>
      </c>
      <c r="R104">
        <v>3</v>
      </c>
      <c r="S104">
        <v>2</v>
      </c>
      <c r="T104">
        <v>2</v>
      </c>
    </row>
    <row r="105" spans="1:20" x14ac:dyDescent="0.3">
      <c r="A105">
        <v>3</v>
      </c>
      <c r="B105">
        <v>2</v>
      </c>
      <c r="C105">
        <v>2</v>
      </c>
      <c r="D105">
        <v>3</v>
      </c>
      <c r="E105">
        <v>2</v>
      </c>
      <c r="F105">
        <v>3</v>
      </c>
      <c r="G105">
        <v>2</v>
      </c>
      <c r="H105">
        <v>5</v>
      </c>
      <c r="I105">
        <v>5</v>
      </c>
      <c r="J105">
        <v>4</v>
      </c>
      <c r="K105">
        <v>4</v>
      </c>
      <c r="L105">
        <v>3</v>
      </c>
      <c r="N105">
        <v>3</v>
      </c>
      <c r="O105">
        <v>2</v>
      </c>
      <c r="P105">
        <v>5</v>
      </c>
      <c r="Q105">
        <v>5</v>
      </c>
      <c r="R105">
        <v>4</v>
      </c>
      <c r="S105">
        <v>4</v>
      </c>
      <c r="T105">
        <v>3</v>
      </c>
    </row>
    <row r="106" spans="1:20" x14ac:dyDescent="0.3">
      <c r="A106">
        <v>3</v>
      </c>
      <c r="B106">
        <v>2</v>
      </c>
      <c r="C106">
        <v>2</v>
      </c>
      <c r="D106">
        <v>3</v>
      </c>
      <c r="E106">
        <v>2</v>
      </c>
      <c r="F106">
        <v>3</v>
      </c>
      <c r="G106">
        <v>4</v>
      </c>
      <c r="H106">
        <v>5</v>
      </c>
      <c r="I106">
        <v>4</v>
      </c>
      <c r="J106">
        <v>4</v>
      </c>
      <c r="K106">
        <v>4</v>
      </c>
      <c r="L106">
        <v>3</v>
      </c>
      <c r="N106">
        <v>3</v>
      </c>
      <c r="O106">
        <v>4</v>
      </c>
      <c r="P106">
        <v>5</v>
      </c>
      <c r="Q106">
        <v>4</v>
      </c>
      <c r="R106">
        <v>4</v>
      </c>
      <c r="S106">
        <v>4</v>
      </c>
      <c r="T106">
        <v>3</v>
      </c>
    </row>
    <row r="107" spans="1:20" x14ac:dyDescent="0.3">
      <c r="A107">
        <v>5</v>
      </c>
      <c r="B107">
        <v>2</v>
      </c>
      <c r="C107">
        <v>3</v>
      </c>
      <c r="D107">
        <v>5</v>
      </c>
      <c r="E107">
        <v>4</v>
      </c>
      <c r="F107">
        <v>3</v>
      </c>
      <c r="G107">
        <v>3</v>
      </c>
      <c r="H107">
        <v>4</v>
      </c>
      <c r="I107">
        <v>5</v>
      </c>
      <c r="J107">
        <v>4</v>
      </c>
      <c r="K107">
        <v>4</v>
      </c>
      <c r="L107">
        <v>4</v>
      </c>
      <c r="N107">
        <v>5</v>
      </c>
      <c r="O107">
        <v>3</v>
      </c>
      <c r="P107">
        <v>4</v>
      </c>
      <c r="Q107">
        <v>5</v>
      </c>
      <c r="R107">
        <v>4</v>
      </c>
      <c r="S107">
        <v>4</v>
      </c>
      <c r="T107">
        <v>4</v>
      </c>
    </row>
    <row r="108" spans="1:20" x14ac:dyDescent="0.3">
      <c r="A108">
        <v>4</v>
      </c>
      <c r="B108">
        <v>2</v>
      </c>
      <c r="C108">
        <v>2</v>
      </c>
      <c r="D108">
        <v>5</v>
      </c>
      <c r="E108">
        <v>4</v>
      </c>
      <c r="F108">
        <v>2</v>
      </c>
      <c r="G108">
        <v>3</v>
      </c>
      <c r="H108">
        <v>4</v>
      </c>
      <c r="I108">
        <v>4</v>
      </c>
      <c r="J108">
        <v>3</v>
      </c>
      <c r="K108">
        <v>3</v>
      </c>
      <c r="L108">
        <v>3</v>
      </c>
      <c r="N108">
        <v>4</v>
      </c>
      <c r="O108">
        <v>3</v>
      </c>
      <c r="P108">
        <v>4</v>
      </c>
      <c r="Q108">
        <v>4</v>
      </c>
      <c r="R108">
        <v>3</v>
      </c>
      <c r="S108">
        <v>3</v>
      </c>
      <c r="T108">
        <v>3</v>
      </c>
    </row>
    <row r="109" spans="1:20" x14ac:dyDescent="0.3">
      <c r="A109">
        <v>2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3</v>
      </c>
      <c r="H109">
        <v>4</v>
      </c>
      <c r="I109">
        <v>3</v>
      </c>
      <c r="J109">
        <v>2</v>
      </c>
      <c r="K109">
        <v>3</v>
      </c>
      <c r="L109">
        <v>4</v>
      </c>
      <c r="N109">
        <v>2</v>
      </c>
      <c r="O109">
        <v>3</v>
      </c>
      <c r="P109">
        <v>4</v>
      </c>
      <c r="Q109">
        <v>3</v>
      </c>
      <c r="R109">
        <v>2</v>
      </c>
      <c r="S109">
        <v>3</v>
      </c>
      <c r="T109">
        <v>4</v>
      </c>
    </row>
    <row r="110" spans="1:20" x14ac:dyDescent="0.3">
      <c r="A110">
        <v>3</v>
      </c>
      <c r="B110">
        <v>2</v>
      </c>
      <c r="C110">
        <v>1</v>
      </c>
      <c r="D110">
        <v>2</v>
      </c>
      <c r="E110">
        <v>2</v>
      </c>
      <c r="F110">
        <v>2</v>
      </c>
      <c r="G110">
        <v>4</v>
      </c>
      <c r="H110">
        <v>5</v>
      </c>
      <c r="I110">
        <v>4</v>
      </c>
      <c r="J110">
        <v>2</v>
      </c>
      <c r="K110">
        <v>2</v>
      </c>
      <c r="L110">
        <v>2</v>
      </c>
      <c r="N110">
        <v>3</v>
      </c>
      <c r="O110">
        <v>4</v>
      </c>
      <c r="P110">
        <v>5</v>
      </c>
      <c r="Q110">
        <v>4</v>
      </c>
      <c r="R110">
        <v>2</v>
      </c>
      <c r="S110">
        <v>2</v>
      </c>
      <c r="T110">
        <v>2</v>
      </c>
    </row>
    <row r="111" spans="1:20" x14ac:dyDescent="0.3">
      <c r="A111">
        <v>3</v>
      </c>
      <c r="B111">
        <v>2</v>
      </c>
      <c r="C111">
        <v>2</v>
      </c>
      <c r="D111">
        <v>2</v>
      </c>
      <c r="E111">
        <v>2</v>
      </c>
      <c r="F111">
        <v>3</v>
      </c>
      <c r="G111">
        <v>4</v>
      </c>
      <c r="H111">
        <v>5</v>
      </c>
      <c r="I111">
        <v>4</v>
      </c>
      <c r="J111">
        <v>3</v>
      </c>
      <c r="K111">
        <v>4</v>
      </c>
      <c r="L111">
        <v>4</v>
      </c>
      <c r="N111">
        <v>3</v>
      </c>
      <c r="O111">
        <v>4</v>
      </c>
      <c r="P111">
        <v>5</v>
      </c>
      <c r="Q111">
        <v>4</v>
      </c>
      <c r="R111">
        <v>3</v>
      </c>
      <c r="S111">
        <v>4</v>
      </c>
      <c r="T111">
        <v>4</v>
      </c>
    </row>
    <row r="112" spans="1:20" x14ac:dyDescent="0.3">
      <c r="A112">
        <v>4</v>
      </c>
      <c r="B112">
        <v>2</v>
      </c>
      <c r="C112">
        <v>2</v>
      </c>
      <c r="D112">
        <v>3</v>
      </c>
      <c r="E112">
        <v>3</v>
      </c>
      <c r="F112">
        <v>2</v>
      </c>
      <c r="G112">
        <v>3</v>
      </c>
      <c r="H112">
        <v>4</v>
      </c>
      <c r="I112">
        <v>4</v>
      </c>
      <c r="J112">
        <v>3</v>
      </c>
      <c r="K112">
        <v>5</v>
      </c>
      <c r="L112">
        <v>3</v>
      </c>
      <c r="N112">
        <v>4</v>
      </c>
      <c r="O112">
        <v>3</v>
      </c>
      <c r="P112">
        <v>4</v>
      </c>
      <c r="Q112">
        <v>4</v>
      </c>
      <c r="R112">
        <v>3</v>
      </c>
      <c r="S112">
        <v>5</v>
      </c>
      <c r="T112">
        <v>3</v>
      </c>
    </row>
    <row r="113" spans="1:20" x14ac:dyDescent="0.3">
      <c r="A113">
        <v>5</v>
      </c>
      <c r="B113">
        <v>2</v>
      </c>
      <c r="C113">
        <v>2</v>
      </c>
      <c r="D113">
        <v>3</v>
      </c>
      <c r="E113">
        <v>4</v>
      </c>
      <c r="F113">
        <v>2</v>
      </c>
      <c r="G113">
        <v>4</v>
      </c>
      <c r="H113">
        <v>5</v>
      </c>
      <c r="I113">
        <v>4</v>
      </c>
      <c r="J113">
        <v>4</v>
      </c>
      <c r="K113">
        <v>4</v>
      </c>
      <c r="L113">
        <v>4</v>
      </c>
      <c r="N113">
        <v>5</v>
      </c>
      <c r="O113">
        <v>4</v>
      </c>
      <c r="P113">
        <v>5</v>
      </c>
      <c r="Q113">
        <v>4</v>
      </c>
      <c r="R113">
        <v>4</v>
      </c>
      <c r="S113">
        <v>4</v>
      </c>
      <c r="T113">
        <v>4</v>
      </c>
    </row>
    <row r="114" spans="1:20" x14ac:dyDescent="0.3">
      <c r="A114">
        <v>5</v>
      </c>
      <c r="B114">
        <v>2</v>
      </c>
      <c r="C114">
        <v>1</v>
      </c>
      <c r="D114">
        <v>4</v>
      </c>
      <c r="E114">
        <v>2</v>
      </c>
      <c r="F114">
        <v>2</v>
      </c>
      <c r="G114">
        <v>3</v>
      </c>
      <c r="H114">
        <v>5</v>
      </c>
      <c r="I114">
        <v>4</v>
      </c>
      <c r="J114">
        <v>4</v>
      </c>
      <c r="K114">
        <v>4</v>
      </c>
      <c r="L114">
        <v>4</v>
      </c>
      <c r="N114">
        <v>5</v>
      </c>
      <c r="O114">
        <v>3</v>
      </c>
      <c r="P114">
        <v>5</v>
      </c>
      <c r="Q114">
        <v>4</v>
      </c>
      <c r="R114">
        <v>4</v>
      </c>
      <c r="S114">
        <v>4</v>
      </c>
      <c r="T114">
        <v>4</v>
      </c>
    </row>
    <row r="115" spans="1:20" x14ac:dyDescent="0.3">
      <c r="A115">
        <v>2</v>
      </c>
      <c r="B115">
        <v>2</v>
      </c>
      <c r="C115">
        <v>2</v>
      </c>
      <c r="D115">
        <v>1</v>
      </c>
      <c r="E115">
        <v>2</v>
      </c>
      <c r="F115">
        <v>2</v>
      </c>
      <c r="G115">
        <v>3</v>
      </c>
      <c r="H115">
        <v>4</v>
      </c>
      <c r="I115">
        <v>5</v>
      </c>
      <c r="J115">
        <v>4</v>
      </c>
      <c r="K115">
        <v>4</v>
      </c>
      <c r="L115">
        <v>5</v>
      </c>
      <c r="N115">
        <v>2</v>
      </c>
      <c r="O115">
        <v>3</v>
      </c>
      <c r="P115">
        <v>4</v>
      </c>
      <c r="Q115">
        <v>5</v>
      </c>
      <c r="R115">
        <v>4</v>
      </c>
      <c r="S115">
        <v>4</v>
      </c>
      <c r="T115">
        <v>5</v>
      </c>
    </row>
    <row r="116" spans="1:20" x14ac:dyDescent="0.3">
      <c r="A116">
        <v>2</v>
      </c>
      <c r="B116">
        <v>2</v>
      </c>
      <c r="C116">
        <v>2</v>
      </c>
      <c r="D116">
        <v>1</v>
      </c>
      <c r="E116">
        <v>2</v>
      </c>
      <c r="F116">
        <v>3</v>
      </c>
      <c r="G116">
        <v>4</v>
      </c>
      <c r="H116">
        <v>5</v>
      </c>
      <c r="I116">
        <v>5</v>
      </c>
      <c r="J116">
        <v>4</v>
      </c>
      <c r="K116">
        <v>4</v>
      </c>
      <c r="L116">
        <v>4</v>
      </c>
      <c r="N116">
        <v>2</v>
      </c>
      <c r="O116">
        <v>4</v>
      </c>
      <c r="P116">
        <v>5</v>
      </c>
      <c r="Q116">
        <v>5</v>
      </c>
      <c r="R116">
        <v>4</v>
      </c>
      <c r="S116">
        <v>4</v>
      </c>
      <c r="T116">
        <v>4</v>
      </c>
    </row>
    <row r="117" spans="1:20" x14ac:dyDescent="0.3">
      <c r="A117">
        <v>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5</v>
      </c>
      <c r="I117">
        <v>5</v>
      </c>
      <c r="J117">
        <v>3</v>
      </c>
      <c r="K117">
        <v>4</v>
      </c>
      <c r="L117">
        <v>4</v>
      </c>
      <c r="N117">
        <v>2</v>
      </c>
      <c r="O117">
        <v>2</v>
      </c>
      <c r="P117">
        <v>5</v>
      </c>
      <c r="Q117">
        <v>5</v>
      </c>
      <c r="R117">
        <v>3</v>
      </c>
      <c r="S117">
        <v>4</v>
      </c>
      <c r="T117">
        <v>4</v>
      </c>
    </row>
    <row r="118" spans="1:20" x14ac:dyDescent="0.3">
      <c r="A118">
        <v>4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3</v>
      </c>
      <c r="N118">
        <v>4</v>
      </c>
      <c r="O118">
        <v>5</v>
      </c>
      <c r="P118">
        <v>5</v>
      </c>
      <c r="Q118">
        <v>5</v>
      </c>
      <c r="R118">
        <v>5</v>
      </c>
      <c r="S118">
        <v>5</v>
      </c>
      <c r="T118">
        <v>3</v>
      </c>
    </row>
    <row r="119" spans="1:20" x14ac:dyDescent="0.3">
      <c r="A119">
        <v>3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4</v>
      </c>
      <c r="H119">
        <v>5</v>
      </c>
      <c r="I119">
        <v>5</v>
      </c>
      <c r="J119">
        <v>2</v>
      </c>
      <c r="K119">
        <v>3</v>
      </c>
      <c r="L119">
        <v>3</v>
      </c>
      <c r="N119">
        <v>3</v>
      </c>
      <c r="O119">
        <v>4</v>
      </c>
      <c r="P119">
        <v>5</v>
      </c>
      <c r="Q119">
        <v>5</v>
      </c>
      <c r="R119">
        <v>2</v>
      </c>
      <c r="S119">
        <v>3</v>
      </c>
      <c r="T119">
        <v>3</v>
      </c>
    </row>
    <row r="120" spans="1:20" x14ac:dyDescent="0.3">
      <c r="A120">
        <v>3</v>
      </c>
      <c r="B120">
        <v>2</v>
      </c>
      <c r="C120">
        <v>1</v>
      </c>
      <c r="D120">
        <v>2</v>
      </c>
      <c r="E120">
        <v>1</v>
      </c>
      <c r="F120">
        <v>3</v>
      </c>
      <c r="G120">
        <v>4</v>
      </c>
      <c r="H120">
        <v>5</v>
      </c>
      <c r="I120">
        <v>4</v>
      </c>
      <c r="J120">
        <v>1</v>
      </c>
      <c r="K120">
        <v>3</v>
      </c>
      <c r="L120">
        <v>2</v>
      </c>
      <c r="N120">
        <v>3</v>
      </c>
      <c r="O120">
        <v>4</v>
      </c>
      <c r="P120">
        <v>5</v>
      </c>
      <c r="Q120">
        <v>4</v>
      </c>
      <c r="R120">
        <v>1</v>
      </c>
      <c r="S120">
        <v>3</v>
      </c>
      <c r="T120">
        <v>2</v>
      </c>
    </row>
    <row r="121" spans="1:20" x14ac:dyDescent="0.3">
      <c r="A121">
        <v>3</v>
      </c>
      <c r="B121">
        <v>2</v>
      </c>
      <c r="C121">
        <v>2</v>
      </c>
      <c r="D121">
        <v>3</v>
      </c>
      <c r="E121">
        <v>3</v>
      </c>
      <c r="F121">
        <v>3</v>
      </c>
      <c r="G121">
        <v>2</v>
      </c>
      <c r="H121">
        <v>4</v>
      </c>
      <c r="I121">
        <v>5</v>
      </c>
      <c r="J121">
        <v>3</v>
      </c>
      <c r="K121">
        <v>4</v>
      </c>
      <c r="L121">
        <v>5</v>
      </c>
      <c r="N121">
        <v>3</v>
      </c>
      <c r="O121">
        <v>2</v>
      </c>
      <c r="P121">
        <v>4</v>
      </c>
      <c r="Q121">
        <v>5</v>
      </c>
      <c r="R121">
        <v>3</v>
      </c>
      <c r="S121">
        <v>4</v>
      </c>
      <c r="T121">
        <v>5</v>
      </c>
    </row>
    <row r="122" spans="1:20" x14ac:dyDescent="0.3">
      <c r="A122">
        <v>6</v>
      </c>
      <c r="B122">
        <v>2</v>
      </c>
      <c r="C122">
        <v>1</v>
      </c>
      <c r="D122">
        <v>3</v>
      </c>
      <c r="E122">
        <v>1</v>
      </c>
      <c r="F122">
        <v>2</v>
      </c>
      <c r="G122">
        <v>4</v>
      </c>
      <c r="H122">
        <v>5</v>
      </c>
      <c r="I122">
        <v>5</v>
      </c>
      <c r="J122">
        <v>5</v>
      </c>
      <c r="K122">
        <v>5</v>
      </c>
      <c r="L122">
        <v>4</v>
      </c>
      <c r="N122">
        <v>6</v>
      </c>
      <c r="O122">
        <v>4</v>
      </c>
      <c r="P122">
        <v>5</v>
      </c>
      <c r="Q122">
        <v>5</v>
      </c>
      <c r="R122">
        <v>5</v>
      </c>
      <c r="S122">
        <v>5</v>
      </c>
      <c r="T122">
        <v>4</v>
      </c>
    </row>
    <row r="123" spans="1:20" x14ac:dyDescent="0.3">
      <c r="A123">
        <v>4</v>
      </c>
      <c r="B123">
        <v>2</v>
      </c>
      <c r="C123">
        <v>3</v>
      </c>
      <c r="D123">
        <v>4</v>
      </c>
      <c r="E123">
        <v>4</v>
      </c>
      <c r="F123">
        <v>2</v>
      </c>
      <c r="G123">
        <v>1</v>
      </c>
      <c r="H123">
        <v>5</v>
      </c>
      <c r="I123">
        <v>4</v>
      </c>
      <c r="J123">
        <v>1</v>
      </c>
      <c r="K123">
        <v>3</v>
      </c>
      <c r="L123">
        <v>2</v>
      </c>
      <c r="N123">
        <v>4</v>
      </c>
      <c r="O123">
        <v>1</v>
      </c>
      <c r="P123">
        <v>5</v>
      </c>
      <c r="Q123">
        <v>4</v>
      </c>
      <c r="R123">
        <v>1</v>
      </c>
      <c r="S123">
        <v>3</v>
      </c>
      <c r="T123">
        <v>2</v>
      </c>
    </row>
    <row r="124" spans="1:20" x14ac:dyDescent="0.3">
      <c r="A124">
        <v>4</v>
      </c>
      <c r="B124">
        <v>2</v>
      </c>
      <c r="C124">
        <v>3</v>
      </c>
      <c r="D124">
        <v>5</v>
      </c>
      <c r="E124">
        <v>3</v>
      </c>
      <c r="F124">
        <v>2</v>
      </c>
      <c r="G124">
        <v>3</v>
      </c>
      <c r="H124">
        <v>3</v>
      </c>
      <c r="I124">
        <v>4</v>
      </c>
      <c r="J124">
        <v>3</v>
      </c>
      <c r="K124">
        <v>2</v>
      </c>
      <c r="L124">
        <v>3</v>
      </c>
      <c r="N124">
        <v>4</v>
      </c>
      <c r="O124">
        <v>3</v>
      </c>
      <c r="P124">
        <v>3</v>
      </c>
      <c r="Q124">
        <v>4</v>
      </c>
      <c r="R124">
        <v>3</v>
      </c>
      <c r="S124">
        <v>2</v>
      </c>
      <c r="T124">
        <v>3</v>
      </c>
    </row>
    <row r="125" spans="1:20" x14ac:dyDescent="0.3">
      <c r="A125">
        <v>5</v>
      </c>
      <c r="B125">
        <v>2</v>
      </c>
      <c r="C125">
        <v>2</v>
      </c>
      <c r="D125">
        <v>5</v>
      </c>
      <c r="E125">
        <v>4</v>
      </c>
      <c r="F125">
        <v>2</v>
      </c>
      <c r="G125">
        <v>5</v>
      </c>
      <c r="H125">
        <v>4</v>
      </c>
      <c r="I125">
        <v>4</v>
      </c>
      <c r="J125">
        <v>4</v>
      </c>
      <c r="K125">
        <v>5</v>
      </c>
      <c r="L125">
        <v>5</v>
      </c>
      <c r="N125">
        <v>5</v>
      </c>
      <c r="O125">
        <v>5</v>
      </c>
      <c r="P125">
        <v>4</v>
      </c>
      <c r="Q125">
        <v>4</v>
      </c>
      <c r="R125">
        <v>4</v>
      </c>
      <c r="S125">
        <v>5</v>
      </c>
      <c r="T125">
        <v>5</v>
      </c>
    </row>
    <row r="126" spans="1:20" x14ac:dyDescent="0.3">
      <c r="A126">
        <v>3</v>
      </c>
      <c r="B126">
        <v>2</v>
      </c>
      <c r="C126">
        <v>2</v>
      </c>
      <c r="D126">
        <v>3</v>
      </c>
      <c r="E126">
        <v>2</v>
      </c>
      <c r="F126">
        <v>3</v>
      </c>
      <c r="G126">
        <v>3</v>
      </c>
      <c r="H126">
        <v>4</v>
      </c>
      <c r="I126">
        <v>5</v>
      </c>
      <c r="J126">
        <v>3</v>
      </c>
      <c r="K126">
        <v>5</v>
      </c>
      <c r="L126">
        <v>3</v>
      </c>
      <c r="N126">
        <v>3</v>
      </c>
      <c r="O126">
        <v>3</v>
      </c>
      <c r="P126">
        <v>4</v>
      </c>
      <c r="Q126">
        <v>5</v>
      </c>
      <c r="R126">
        <v>3</v>
      </c>
      <c r="S126">
        <v>5</v>
      </c>
      <c r="T126">
        <v>3</v>
      </c>
    </row>
    <row r="127" spans="1:20" x14ac:dyDescent="0.3">
      <c r="A127">
        <v>6</v>
      </c>
      <c r="B127">
        <v>2</v>
      </c>
      <c r="C127">
        <v>3</v>
      </c>
      <c r="D127">
        <v>5</v>
      </c>
      <c r="E127">
        <v>4</v>
      </c>
      <c r="F127">
        <v>2</v>
      </c>
      <c r="G127">
        <v>5</v>
      </c>
      <c r="H127">
        <v>4</v>
      </c>
      <c r="I127">
        <v>4</v>
      </c>
      <c r="J127">
        <v>3</v>
      </c>
      <c r="K127">
        <v>4</v>
      </c>
      <c r="L127">
        <v>4</v>
      </c>
      <c r="N127">
        <v>6</v>
      </c>
      <c r="O127">
        <v>5</v>
      </c>
      <c r="P127">
        <v>4</v>
      </c>
      <c r="Q127">
        <v>4</v>
      </c>
      <c r="R127">
        <v>3</v>
      </c>
      <c r="S127">
        <v>4</v>
      </c>
      <c r="T127">
        <v>4</v>
      </c>
    </row>
    <row r="128" spans="1:20" x14ac:dyDescent="0.3">
      <c r="A128">
        <v>3</v>
      </c>
      <c r="B128">
        <v>2</v>
      </c>
      <c r="C128">
        <v>2</v>
      </c>
      <c r="D128">
        <v>2</v>
      </c>
      <c r="E128">
        <v>2</v>
      </c>
      <c r="F128">
        <v>3</v>
      </c>
      <c r="G128">
        <v>2</v>
      </c>
      <c r="H128">
        <v>3</v>
      </c>
      <c r="I128">
        <v>4</v>
      </c>
      <c r="J128">
        <v>3</v>
      </c>
      <c r="K128">
        <v>3</v>
      </c>
      <c r="L128">
        <v>1</v>
      </c>
      <c r="N128">
        <v>3</v>
      </c>
      <c r="O128">
        <v>2</v>
      </c>
      <c r="P128">
        <v>3</v>
      </c>
      <c r="Q128">
        <v>4</v>
      </c>
      <c r="R128">
        <v>3</v>
      </c>
      <c r="S128">
        <v>3</v>
      </c>
      <c r="T128">
        <v>1</v>
      </c>
    </row>
    <row r="129" spans="1:20" x14ac:dyDescent="0.3">
      <c r="A129">
        <v>3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4</v>
      </c>
      <c r="H129">
        <v>5</v>
      </c>
      <c r="I129">
        <v>5</v>
      </c>
      <c r="J129">
        <v>2</v>
      </c>
      <c r="K129">
        <v>4</v>
      </c>
      <c r="L129">
        <v>1</v>
      </c>
      <c r="N129">
        <v>3</v>
      </c>
      <c r="O129">
        <v>4</v>
      </c>
      <c r="P129">
        <v>5</v>
      </c>
      <c r="Q129">
        <v>5</v>
      </c>
      <c r="R129">
        <v>2</v>
      </c>
      <c r="S129">
        <v>4</v>
      </c>
      <c r="T129">
        <v>1</v>
      </c>
    </row>
    <row r="130" spans="1:20" x14ac:dyDescent="0.3">
      <c r="A130">
        <v>4</v>
      </c>
      <c r="B130">
        <v>2</v>
      </c>
      <c r="C130">
        <v>1</v>
      </c>
      <c r="D130">
        <v>4</v>
      </c>
      <c r="E130">
        <v>1</v>
      </c>
      <c r="F130">
        <v>2</v>
      </c>
      <c r="G130">
        <v>2</v>
      </c>
      <c r="H130">
        <v>1</v>
      </c>
      <c r="I130">
        <v>1</v>
      </c>
      <c r="J130">
        <v>1</v>
      </c>
      <c r="K130">
        <v>2</v>
      </c>
      <c r="L130">
        <v>2</v>
      </c>
      <c r="N130">
        <v>4</v>
      </c>
      <c r="O130">
        <v>2</v>
      </c>
      <c r="P130">
        <v>1</v>
      </c>
      <c r="Q130">
        <v>1</v>
      </c>
      <c r="R130">
        <v>1</v>
      </c>
      <c r="S130">
        <v>2</v>
      </c>
      <c r="T130">
        <v>2</v>
      </c>
    </row>
    <row r="131" spans="1:20" x14ac:dyDescent="0.3">
      <c r="A131">
        <v>5</v>
      </c>
      <c r="B131">
        <v>2</v>
      </c>
      <c r="C131">
        <v>2</v>
      </c>
      <c r="D131">
        <v>2</v>
      </c>
      <c r="E131">
        <v>3</v>
      </c>
      <c r="F131">
        <v>2</v>
      </c>
      <c r="G131">
        <v>5</v>
      </c>
      <c r="H131">
        <v>5</v>
      </c>
      <c r="I131">
        <v>5</v>
      </c>
      <c r="J131">
        <v>3</v>
      </c>
      <c r="K131">
        <v>4</v>
      </c>
      <c r="L131">
        <v>3</v>
      </c>
      <c r="N131">
        <v>5</v>
      </c>
      <c r="O131">
        <v>5</v>
      </c>
      <c r="P131">
        <v>5</v>
      </c>
      <c r="Q131">
        <v>5</v>
      </c>
      <c r="R131">
        <v>3</v>
      </c>
      <c r="S131">
        <v>4</v>
      </c>
      <c r="T131">
        <v>3</v>
      </c>
    </row>
    <row r="132" spans="1:20" x14ac:dyDescent="0.3">
      <c r="A132">
        <v>4</v>
      </c>
      <c r="B132">
        <v>2</v>
      </c>
      <c r="C132">
        <v>3</v>
      </c>
      <c r="D132">
        <v>3</v>
      </c>
      <c r="E132">
        <v>2</v>
      </c>
      <c r="F132">
        <v>2</v>
      </c>
      <c r="G132">
        <v>3</v>
      </c>
      <c r="H132">
        <v>4</v>
      </c>
      <c r="I132">
        <v>5</v>
      </c>
      <c r="J132">
        <v>4</v>
      </c>
      <c r="K132">
        <v>5</v>
      </c>
      <c r="L132">
        <v>4</v>
      </c>
      <c r="N132">
        <v>4</v>
      </c>
      <c r="O132">
        <v>3</v>
      </c>
      <c r="P132">
        <v>4</v>
      </c>
      <c r="Q132">
        <v>5</v>
      </c>
      <c r="R132">
        <v>4</v>
      </c>
      <c r="S132">
        <v>5</v>
      </c>
      <c r="T132">
        <v>4</v>
      </c>
    </row>
    <row r="133" spans="1:20" x14ac:dyDescent="0.3">
      <c r="A133">
        <v>3</v>
      </c>
      <c r="B133">
        <v>2</v>
      </c>
      <c r="C133">
        <v>2</v>
      </c>
      <c r="D133">
        <v>2</v>
      </c>
      <c r="E133">
        <v>3</v>
      </c>
      <c r="F133">
        <v>2</v>
      </c>
      <c r="G133">
        <v>4</v>
      </c>
      <c r="H133">
        <v>4</v>
      </c>
      <c r="I133">
        <v>2</v>
      </c>
      <c r="J133">
        <v>2</v>
      </c>
      <c r="K133">
        <v>2</v>
      </c>
      <c r="L133">
        <v>2</v>
      </c>
      <c r="N133">
        <v>3</v>
      </c>
      <c r="O133">
        <v>4</v>
      </c>
      <c r="P133">
        <v>4</v>
      </c>
      <c r="Q133">
        <v>2</v>
      </c>
      <c r="R133">
        <v>2</v>
      </c>
      <c r="S133">
        <v>2</v>
      </c>
      <c r="T133">
        <v>2</v>
      </c>
    </row>
    <row r="134" spans="1:20" x14ac:dyDescent="0.3">
      <c r="A134">
        <v>2</v>
      </c>
      <c r="B134">
        <v>1</v>
      </c>
      <c r="C134">
        <v>1</v>
      </c>
      <c r="D134">
        <v>1</v>
      </c>
      <c r="E134">
        <v>1</v>
      </c>
      <c r="F134">
        <v>2</v>
      </c>
      <c r="G134">
        <v>3</v>
      </c>
      <c r="H134">
        <v>2</v>
      </c>
      <c r="I134">
        <v>4</v>
      </c>
      <c r="J134">
        <v>2</v>
      </c>
      <c r="K134">
        <v>4</v>
      </c>
      <c r="L134">
        <v>3</v>
      </c>
      <c r="N134">
        <v>2</v>
      </c>
      <c r="O134">
        <v>3</v>
      </c>
      <c r="P134">
        <v>2</v>
      </c>
      <c r="Q134">
        <v>4</v>
      </c>
      <c r="R134">
        <v>2</v>
      </c>
      <c r="S134">
        <v>4</v>
      </c>
      <c r="T134">
        <v>3</v>
      </c>
    </row>
    <row r="135" spans="1:20" x14ac:dyDescent="0.3">
      <c r="A135">
        <v>5</v>
      </c>
      <c r="B135">
        <v>2</v>
      </c>
      <c r="C135">
        <v>1</v>
      </c>
      <c r="D135">
        <v>2</v>
      </c>
      <c r="E135">
        <v>1</v>
      </c>
      <c r="F135">
        <v>1</v>
      </c>
      <c r="G135">
        <v>5</v>
      </c>
      <c r="H135">
        <v>4</v>
      </c>
      <c r="I135">
        <v>4</v>
      </c>
      <c r="J135">
        <v>5</v>
      </c>
      <c r="K135">
        <v>5</v>
      </c>
      <c r="L135">
        <v>1</v>
      </c>
      <c r="N135">
        <v>5</v>
      </c>
      <c r="O135">
        <v>5</v>
      </c>
      <c r="P135">
        <v>4</v>
      </c>
      <c r="Q135">
        <v>4</v>
      </c>
      <c r="R135">
        <v>5</v>
      </c>
      <c r="S135">
        <v>5</v>
      </c>
      <c r="T135">
        <v>1</v>
      </c>
    </row>
    <row r="136" spans="1:20" x14ac:dyDescent="0.3">
      <c r="A136">
        <v>4</v>
      </c>
      <c r="B136">
        <v>2</v>
      </c>
      <c r="C136">
        <v>3</v>
      </c>
      <c r="D136">
        <v>4</v>
      </c>
      <c r="E136">
        <v>3</v>
      </c>
      <c r="F136">
        <v>2</v>
      </c>
      <c r="G136">
        <v>3</v>
      </c>
      <c r="H136">
        <v>4</v>
      </c>
      <c r="I136">
        <v>4</v>
      </c>
      <c r="J136">
        <v>4</v>
      </c>
      <c r="K136">
        <v>4</v>
      </c>
      <c r="L136">
        <v>3</v>
      </c>
      <c r="N136">
        <v>4</v>
      </c>
      <c r="O136">
        <v>3</v>
      </c>
      <c r="P136">
        <v>4</v>
      </c>
      <c r="Q136">
        <v>4</v>
      </c>
      <c r="R136">
        <v>4</v>
      </c>
      <c r="S136">
        <v>4</v>
      </c>
      <c r="T136">
        <v>3</v>
      </c>
    </row>
    <row r="137" spans="1:20" x14ac:dyDescent="0.3">
      <c r="A137">
        <v>3</v>
      </c>
      <c r="B137">
        <v>2</v>
      </c>
      <c r="C137">
        <v>2</v>
      </c>
      <c r="D137">
        <v>3</v>
      </c>
      <c r="E137">
        <v>2</v>
      </c>
      <c r="F137">
        <v>2</v>
      </c>
      <c r="G137">
        <v>3</v>
      </c>
      <c r="H137">
        <v>2</v>
      </c>
      <c r="I137">
        <v>4</v>
      </c>
      <c r="J137">
        <v>2</v>
      </c>
      <c r="K137">
        <v>4</v>
      </c>
      <c r="L137">
        <v>2</v>
      </c>
      <c r="N137">
        <v>3</v>
      </c>
      <c r="O137">
        <v>3</v>
      </c>
      <c r="P137">
        <v>2</v>
      </c>
      <c r="Q137">
        <v>4</v>
      </c>
      <c r="R137">
        <v>2</v>
      </c>
      <c r="S137">
        <v>4</v>
      </c>
      <c r="T137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7"/>
  <sheetViews>
    <sheetView workbookViewId="0">
      <selection activeCell="B2" sqref="B2"/>
    </sheetView>
  </sheetViews>
  <sheetFormatPr defaultRowHeight="14.4" x14ac:dyDescent="0.3"/>
  <cols>
    <col min="1" max="1" width="4.88671875" customWidth="1"/>
    <col min="2" max="2" width="7.5546875" customWidth="1"/>
    <col min="3" max="3" width="8.33203125" customWidth="1"/>
    <col min="4" max="4" width="10.88671875" bestFit="1" customWidth="1"/>
    <col min="5" max="5" width="9.6640625" bestFit="1" customWidth="1"/>
    <col min="6" max="6" width="5.6640625" customWidth="1"/>
    <col min="7" max="12" width="12.33203125" customWidth="1"/>
    <col min="42" max="42" width="11.5546875" customWidth="1"/>
  </cols>
  <sheetData>
    <row r="1" spans="1:44" x14ac:dyDescent="0.3">
      <c r="A1" s="40" t="s">
        <v>96</v>
      </c>
      <c r="B1" s="40" t="s">
        <v>4</v>
      </c>
      <c r="C1" s="40" t="s">
        <v>5</v>
      </c>
      <c r="D1" s="40" t="s">
        <v>6</v>
      </c>
      <c r="E1" s="40" t="s">
        <v>7</v>
      </c>
      <c r="F1" s="40" t="s">
        <v>134</v>
      </c>
      <c r="G1" s="40" t="s">
        <v>140</v>
      </c>
      <c r="H1" s="40" t="s">
        <v>141</v>
      </c>
      <c r="I1" s="40" t="s">
        <v>136</v>
      </c>
      <c r="J1" s="40" t="s">
        <v>137</v>
      </c>
      <c r="K1" s="40" t="s">
        <v>138</v>
      </c>
      <c r="L1" s="40" t="s">
        <v>139</v>
      </c>
      <c r="P1" s="106" t="s">
        <v>343</v>
      </c>
      <c r="Q1" s="106"/>
      <c r="R1" s="106"/>
      <c r="S1" s="106"/>
      <c r="T1" s="106"/>
      <c r="U1" s="106"/>
      <c r="Y1" s="106" t="s">
        <v>377</v>
      </c>
      <c r="Z1" s="106"/>
      <c r="AA1" s="106"/>
      <c r="AB1" s="106"/>
      <c r="AC1" s="106"/>
      <c r="AD1" s="106"/>
      <c r="AH1" s="106" t="s">
        <v>366</v>
      </c>
      <c r="AI1" s="106"/>
      <c r="AJ1" s="106"/>
      <c r="AK1" s="106"/>
      <c r="AL1" s="106"/>
      <c r="AM1" s="106"/>
    </row>
    <row r="2" spans="1:44" ht="15.6" x14ac:dyDescent="0.3">
      <c r="A2">
        <v>3</v>
      </c>
      <c r="B2">
        <v>2</v>
      </c>
      <c r="C2">
        <v>2</v>
      </c>
      <c r="D2">
        <v>2</v>
      </c>
      <c r="E2">
        <v>2</v>
      </c>
      <c r="F2">
        <v>3</v>
      </c>
      <c r="G2">
        <v>3</v>
      </c>
      <c r="H2">
        <v>5</v>
      </c>
      <c r="I2">
        <v>4</v>
      </c>
      <c r="J2">
        <v>3</v>
      </c>
      <c r="K2">
        <v>4</v>
      </c>
      <c r="L2">
        <v>2</v>
      </c>
      <c r="O2" s="11" t="s">
        <v>217</v>
      </c>
      <c r="P2" s="10">
        <v>1</v>
      </c>
      <c r="Q2" s="10">
        <v>2</v>
      </c>
      <c r="R2" s="10">
        <v>3</v>
      </c>
      <c r="S2" s="10">
        <v>4</v>
      </c>
      <c r="T2" s="10">
        <v>5</v>
      </c>
      <c r="U2" s="10"/>
      <c r="V2" s="44"/>
      <c r="X2" s="11" t="s">
        <v>4</v>
      </c>
      <c r="Y2" s="10">
        <v>1</v>
      </c>
      <c r="Z2" s="10">
        <v>2</v>
      </c>
      <c r="AA2" s="10">
        <v>3</v>
      </c>
      <c r="AB2" s="10">
        <v>4</v>
      </c>
      <c r="AC2" s="10">
        <v>5</v>
      </c>
      <c r="AD2" s="10"/>
      <c r="AE2" s="44"/>
      <c r="AG2" s="11" t="s">
        <v>4</v>
      </c>
      <c r="AH2" s="10">
        <v>1</v>
      </c>
      <c r="AI2" s="10">
        <v>2</v>
      </c>
      <c r="AJ2" s="10">
        <v>3</v>
      </c>
      <c r="AK2" s="10">
        <v>4</v>
      </c>
      <c r="AL2" s="10">
        <v>5</v>
      </c>
      <c r="AM2" s="10"/>
      <c r="AN2" s="44"/>
    </row>
    <row r="3" spans="1:44" ht="15.6" x14ac:dyDescent="0.3">
      <c r="A3">
        <v>5</v>
      </c>
      <c r="B3">
        <v>2</v>
      </c>
      <c r="C3">
        <v>3</v>
      </c>
      <c r="D3">
        <v>5</v>
      </c>
      <c r="E3">
        <v>4</v>
      </c>
      <c r="F3">
        <v>2</v>
      </c>
      <c r="G3">
        <v>3</v>
      </c>
      <c r="H3">
        <v>5</v>
      </c>
      <c r="I3">
        <v>4</v>
      </c>
      <c r="J3">
        <v>3</v>
      </c>
      <c r="K3">
        <v>4</v>
      </c>
      <c r="L3">
        <v>3</v>
      </c>
      <c r="O3" s="42" t="s">
        <v>218</v>
      </c>
      <c r="P3">
        <f>COUNTIFS($B$2:$B$137,"1",$G$2:$G$137,"1")</f>
        <v>0</v>
      </c>
      <c r="Q3">
        <f>COUNTIFS($B$2:$B$137,"1",$G$2:$G$137,"2")</f>
        <v>0</v>
      </c>
      <c r="R3">
        <f>COUNTIFS($B$2:$B$137,"1",$G$2:$G$137,"3")</f>
        <v>2</v>
      </c>
      <c r="S3">
        <f>COUNTIFS($B$2:$B$137,"1",$G$2:$G$137,"4")</f>
        <v>2</v>
      </c>
      <c r="T3">
        <f>COUNTIFS($B$2:$B$137,"1",$G$2:$G$137,"5")</f>
        <v>0</v>
      </c>
      <c r="U3" s="43">
        <f>SUM(P3:T3)</f>
        <v>4</v>
      </c>
      <c r="V3" s="43"/>
      <c r="X3" s="42">
        <v>1</v>
      </c>
      <c r="Y3">
        <f t="shared" ref="Y3:AC4" si="0">($U3*P$5)/$U$5</f>
        <v>8.8235294117647065E-2</v>
      </c>
      <c r="Z3">
        <f t="shared" si="0"/>
        <v>0.44117647058823528</v>
      </c>
      <c r="AA3">
        <f t="shared" si="0"/>
        <v>1.2941176470588236</v>
      </c>
      <c r="AB3">
        <f t="shared" si="0"/>
        <v>1.4411764705882353</v>
      </c>
      <c r="AC3">
        <f t="shared" si="0"/>
        <v>0.73529411764705888</v>
      </c>
      <c r="AD3" s="51">
        <f>SUM(Y3:AC3)</f>
        <v>4</v>
      </c>
      <c r="AE3" s="43"/>
      <c r="AG3" s="42">
        <v>1</v>
      </c>
      <c r="AH3" s="49">
        <f>(P3-Y3)^2/Y3</f>
        <v>8.8235294117647065E-2</v>
      </c>
      <c r="AI3" s="49">
        <f t="shared" ref="AI3:AL4" si="1">(Q3-Z3)^2/Z3</f>
        <v>0.44117647058823528</v>
      </c>
      <c r="AJ3" s="49">
        <f t="shared" si="1"/>
        <v>0.38502673796791437</v>
      </c>
      <c r="AK3" s="49">
        <f t="shared" si="1"/>
        <v>0.21668667466986796</v>
      </c>
      <c r="AL3" s="49">
        <f t="shared" si="1"/>
        <v>0.73529411764705899</v>
      </c>
      <c r="AM3" s="51">
        <f>SUM(AH3:AL3)</f>
        <v>1.8664192949907235</v>
      </c>
      <c r="AN3" s="43"/>
      <c r="AP3" s="2" t="s">
        <v>204</v>
      </c>
      <c r="AQ3">
        <v>0.05</v>
      </c>
    </row>
    <row r="4" spans="1:44" ht="15.6" x14ac:dyDescent="0.3">
      <c r="A4">
        <v>3</v>
      </c>
      <c r="B4">
        <v>2</v>
      </c>
      <c r="C4">
        <v>2</v>
      </c>
      <c r="D4">
        <v>3</v>
      </c>
      <c r="E4">
        <v>2</v>
      </c>
      <c r="F4">
        <v>2</v>
      </c>
      <c r="G4">
        <v>2</v>
      </c>
      <c r="H4">
        <v>3</v>
      </c>
      <c r="I4">
        <v>4</v>
      </c>
      <c r="J4">
        <v>3</v>
      </c>
      <c r="K4">
        <v>4</v>
      </c>
      <c r="L4">
        <v>2</v>
      </c>
      <c r="O4" s="42" t="s">
        <v>219</v>
      </c>
      <c r="P4">
        <f>COUNTIFS($B$2:$B$137,"2",$G$2:$G$137,"1")</f>
        <v>3</v>
      </c>
      <c r="Q4">
        <f>COUNTIFS($B$2:$B$137,"2",$G$2:$G$137,"2")</f>
        <v>15</v>
      </c>
      <c r="R4">
        <f>COUNTIFS($B$2:$B$137,"2",$G$2:$G$137,"3")</f>
        <v>42</v>
      </c>
      <c r="S4">
        <f>COUNTIFS($B$2:$B$137,"2",$G$2:$G$137,"4")</f>
        <v>47</v>
      </c>
      <c r="T4">
        <f>COUNTIFS($B$2:$B$137,"2",$G$2:$G$137,"5")</f>
        <v>25</v>
      </c>
      <c r="U4" s="43">
        <f>SUM(P4:T4)</f>
        <v>132</v>
      </c>
      <c r="V4" s="43"/>
      <c r="X4" s="42">
        <v>2</v>
      </c>
      <c r="Y4">
        <f t="shared" si="0"/>
        <v>2.9117647058823528</v>
      </c>
      <c r="Z4">
        <f t="shared" si="0"/>
        <v>14.558823529411764</v>
      </c>
      <c r="AA4">
        <f t="shared" si="0"/>
        <v>42.705882352941174</v>
      </c>
      <c r="AB4">
        <f t="shared" si="0"/>
        <v>47.558823529411768</v>
      </c>
      <c r="AC4">
        <f t="shared" si="0"/>
        <v>24.264705882352942</v>
      </c>
      <c r="AD4" s="51">
        <f>SUM(Y4:AC4)</f>
        <v>132</v>
      </c>
      <c r="AE4" s="43"/>
      <c r="AG4" s="42">
        <v>2</v>
      </c>
      <c r="AH4" s="49">
        <f>(P4-Y4)^2/Y4</f>
        <v>2.6737967914438584E-3</v>
      </c>
      <c r="AI4" s="49">
        <f t="shared" si="1"/>
        <v>1.3368983957219263E-2</v>
      </c>
      <c r="AJ4" s="49">
        <f t="shared" si="1"/>
        <v>1.1667476908118538E-2</v>
      </c>
      <c r="AK4" s="49">
        <f t="shared" si="1"/>
        <v>6.5662628687839552E-3</v>
      </c>
      <c r="AL4" s="49">
        <f t="shared" si="1"/>
        <v>2.22816399286987E-2</v>
      </c>
      <c r="AM4" s="51">
        <f>SUM(AH4:AL4)</f>
        <v>5.6558160454264317E-2</v>
      </c>
      <c r="AN4" s="43"/>
      <c r="AP4" s="2" t="s">
        <v>205</v>
      </c>
      <c r="AQ4">
        <f>4*1</f>
        <v>4</v>
      </c>
    </row>
    <row r="5" spans="1:44" ht="15.6" x14ac:dyDescent="0.3">
      <c r="A5">
        <v>5</v>
      </c>
      <c r="B5">
        <v>2</v>
      </c>
      <c r="C5">
        <v>3</v>
      </c>
      <c r="D5">
        <v>5</v>
      </c>
      <c r="E5">
        <v>4</v>
      </c>
      <c r="F5">
        <v>2</v>
      </c>
      <c r="G5">
        <v>3</v>
      </c>
      <c r="H5">
        <v>3</v>
      </c>
      <c r="I5">
        <v>5</v>
      </c>
      <c r="J5">
        <v>3</v>
      </c>
      <c r="K5">
        <v>3</v>
      </c>
      <c r="L5">
        <v>3</v>
      </c>
      <c r="O5" s="42"/>
      <c r="P5" s="43">
        <f>SUM(P3:P4)</f>
        <v>3</v>
      </c>
      <c r="Q5" s="43">
        <f>SUM(Q3:Q4)</f>
        <v>15</v>
      </c>
      <c r="R5" s="43">
        <f>SUM(R3:R4)</f>
        <v>44</v>
      </c>
      <c r="S5" s="43">
        <f>SUM(S3:S4)</f>
        <v>49</v>
      </c>
      <c r="T5" s="43">
        <f>SUM(T3:T4)</f>
        <v>25</v>
      </c>
      <c r="U5" s="48">
        <f>SUM(P5:T5)</f>
        <v>136</v>
      </c>
      <c r="V5" s="43"/>
      <c r="X5" s="42"/>
      <c r="Y5" s="51">
        <f>SUM(Y3:Y4)</f>
        <v>3</v>
      </c>
      <c r="Z5" s="51">
        <f>SUM(Z3:Z4)</f>
        <v>15</v>
      </c>
      <c r="AA5" s="51">
        <f>SUM(AA3:AA4)</f>
        <v>44</v>
      </c>
      <c r="AB5" s="51">
        <f>SUM(AB3:AB4)</f>
        <v>49</v>
      </c>
      <c r="AC5" s="51">
        <f>SUM(AC3:AC4)</f>
        <v>25</v>
      </c>
      <c r="AD5" s="45">
        <f>SUM(Y5:AC5)</f>
        <v>136</v>
      </c>
      <c r="AE5" s="43"/>
      <c r="AG5" s="61"/>
      <c r="AH5" s="51">
        <f t="shared" ref="AH5:AM5" si="2">SUM(AH3:AH4)</f>
        <v>9.0909090909090925E-2</v>
      </c>
      <c r="AI5" s="51">
        <f t="shared" si="2"/>
        <v>0.45454545454545453</v>
      </c>
      <c r="AJ5" s="51">
        <f t="shared" si="2"/>
        <v>0.3966942148760329</v>
      </c>
      <c r="AK5" s="51">
        <f t="shared" si="2"/>
        <v>0.22325293753865191</v>
      </c>
      <c r="AL5" s="51">
        <f t="shared" si="2"/>
        <v>0.75757575757575768</v>
      </c>
      <c r="AM5" s="48">
        <f t="shared" si="2"/>
        <v>1.9229774554449879</v>
      </c>
      <c r="AN5" s="43"/>
      <c r="AP5" s="2" t="s">
        <v>202</v>
      </c>
      <c r="AQ5" s="45">
        <f>SUM(AH3:AL4)</f>
        <v>1.9229774554449879</v>
      </c>
    </row>
    <row r="6" spans="1:44" ht="15.6" x14ac:dyDescent="0.3">
      <c r="A6">
        <v>5</v>
      </c>
      <c r="B6">
        <v>2</v>
      </c>
      <c r="C6">
        <v>3</v>
      </c>
      <c r="D6">
        <v>5</v>
      </c>
      <c r="E6">
        <v>4</v>
      </c>
      <c r="F6">
        <v>1</v>
      </c>
      <c r="G6">
        <v>3</v>
      </c>
      <c r="H6">
        <v>4</v>
      </c>
      <c r="I6">
        <v>3</v>
      </c>
      <c r="J6">
        <v>3</v>
      </c>
      <c r="K6">
        <v>3</v>
      </c>
      <c r="L6">
        <v>3</v>
      </c>
      <c r="O6" s="42"/>
      <c r="U6" s="43"/>
      <c r="V6" s="43"/>
      <c r="X6" s="42"/>
      <c r="AD6" s="43"/>
      <c r="AE6" s="43"/>
      <c r="AG6" s="61"/>
      <c r="AM6" s="45"/>
      <c r="AN6" s="43"/>
      <c r="AP6" s="2" t="s">
        <v>203</v>
      </c>
      <c r="AQ6" s="50">
        <v>9.49</v>
      </c>
    </row>
    <row r="7" spans="1:44" ht="15.6" x14ac:dyDescent="0.3">
      <c r="A7">
        <v>3</v>
      </c>
      <c r="B7">
        <v>2</v>
      </c>
      <c r="C7">
        <v>2</v>
      </c>
      <c r="D7">
        <v>2</v>
      </c>
      <c r="E7">
        <v>2</v>
      </c>
      <c r="F7">
        <v>2</v>
      </c>
      <c r="G7">
        <v>3</v>
      </c>
      <c r="H7">
        <v>4</v>
      </c>
      <c r="I7">
        <v>5</v>
      </c>
      <c r="J7">
        <v>5</v>
      </c>
      <c r="K7">
        <v>2</v>
      </c>
      <c r="L7">
        <v>3</v>
      </c>
      <c r="O7" s="42"/>
      <c r="U7" s="43"/>
      <c r="V7" s="43"/>
      <c r="X7" s="42"/>
      <c r="AD7" s="43"/>
      <c r="AE7" s="43"/>
      <c r="AG7" s="61"/>
      <c r="AM7" s="45"/>
      <c r="AN7" s="43"/>
      <c r="AP7" s="2" t="s">
        <v>206</v>
      </c>
      <c r="AQ7">
        <f>_xlfn.CHISQ.DIST.RT(AQ5,AQ4)</f>
        <v>0.74992281743391875</v>
      </c>
      <c r="AR7" t="s">
        <v>220</v>
      </c>
    </row>
    <row r="8" spans="1:44" ht="15.6" x14ac:dyDescent="0.3">
      <c r="A8">
        <v>5</v>
      </c>
      <c r="B8">
        <v>2</v>
      </c>
      <c r="C8">
        <v>2</v>
      </c>
      <c r="D8">
        <v>5</v>
      </c>
      <c r="E8">
        <v>2</v>
      </c>
      <c r="F8">
        <v>2</v>
      </c>
      <c r="G8">
        <v>4</v>
      </c>
      <c r="H8">
        <v>4</v>
      </c>
      <c r="I8">
        <v>5</v>
      </c>
      <c r="J8">
        <v>4</v>
      </c>
      <c r="K8">
        <v>4</v>
      </c>
      <c r="L8">
        <v>5</v>
      </c>
      <c r="O8" s="42"/>
      <c r="U8" s="43"/>
      <c r="V8" s="43"/>
      <c r="X8" s="42"/>
      <c r="AD8" s="43"/>
      <c r="AE8" s="43"/>
      <c r="AG8" s="61"/>
      <c r="AM8" s="45"/>
      <c r="AN8" s="43"/>
      <c r="AP8" t="s">
        <v>208</v>
      </c>
    </row>
    <row r="9" spans="1:44" ht="18" x14ac:dyDescent="0.35">
      <c r="A9">
        <v>6</v>
      </c>
      <c r="B9">
        <v>2</v>
      </c>
      <c r="C9">
        <v>2</v>
      </c>
      <c r="D9">
        <v>5</v>
      </c>
      <c r="E9">
        <v>3</v>
      </c>
      <c r="F9">
        <v>2</v>
      </c>
      <c r="G9">
        <v>4</v>
      </c>
      <c r="H9">
        <v>4</v>
      </c>
      <c r="I9">
        <v>5</v>
      </c>
      <c r="J9">
        <v>3</v>
      </c>
      <c r="K9">
        <v>4</v>
      </c>
      <c r="L9">
        <v>3</v>
      </c>
      <c r="V9" s="46"/>
      <c r="Y9" s="43"/>
      <c r="Z9" s="43"/>
      <c r="AA9" s="43"/>
      <c r="AB9" s="43"/>
      <c r="AC9" s="43"/>
      <c r="AD9" s="43"/>
      <c r="AE9" s="46"/>
      <c r="AG9" s="23"/>
      <c r="AH9" s="43"/>
      <c r="AI9" s="43"/>
      <c r="AJ9" s="43"/>
      <c r="AK9" s="43"/>
      <c r="AL9" s="43"/>
      <c r="AM9" s="45"/>
      <c r="AN9" s="46"/>
      <c r="AP9" s="2" t="s">
        <v>336</v>
      </c>
      <c r="AQ9" s="3">
        <f>MIN(5,2)-1</f>
        <v>1</v>
      </c>
    </row>
    <row r="10" spans="1:44" x14ac:dyDescent="0.3">
      <c r="A10">
        <v>6</v>
      </c>
      <c r="B10">
        <v>2</v>
      </c>
      <c r="C10">
        <v>1</v>
      </c>
      <c r="D10">
        <v>5</v>
      </c>
      <c r="E10">
        <v>2</v>
      </c>
      <c r="F10">
        <v>1</v>
      </c>
      <c r="G10">
        <v>4</v>
      </c>
      <c r="H10">
        <v>3</v>
      </c>
      <c r="I10">
        <v>4</v>
      </c>
      <c r="J10">
        <v>2</v>
      </c>
      <c r="K10">
        <v>4</v>
      </c>
      <c r="L10">
        <v>3</v>
      </c>
      <c r="AP10" s="2" t="s">
        <v>309</v>
      </c>
      <c r="AQ10">
        <v>136</v>
      </c>
    </row>
    <row r="11" spans="1:44" ht="15.6" x14ac:dyDescent="0.3">
      <c r="A11">
        <v>5</v>
      </c>
      <c r="B11">
        <v>2</v>
      </c>
      <c r="C11">
        <v>2</v>
      </c>
      <c r="D11">
        <v>5</v>
      </c>
      <c r="E11">
        <v>4</v>
      </c>
      <c r="F11">
        <v>2</v>
      </c>
      <c r="G11">
        <v>3</v>
      </c>
      <c r="H11">
        <v>4</v>
      </c>
      <c r="I11">
        <v>4</v>
      </c>
      <c r="J11">
        <v>3</v>
      </c>
      <c r="K11">
        <v>4</v>
      </c>
      <c r="L11">
        <v>4</v>
      </c>
      <c r="AP11" s="2" t="s">
        <v>299</v>
      </c>
      <c r="AQ11" s="50">
        <f>SQRT(AQ5/($AQ$9*$AQ$10))</f>
        <v>0.11890979822355299</v>
      </c>
      <c r="AR11" t="s">
        <v>337</v>
      </c>
    </row>
    <row r="12" spans="1:44" x14ac:dyDescent="0.3">
      <c r="A12">
        <v>3</v>
      </c>
      <c r="B12">
        <v>2</v>
      </c>
      <c r="C12">
        <v>2</v>
      </c>
      <c r="D12">
        <v>3</v>
      </c>
      <c r="E12">
        <v>2</v>
      </c>
      <c r="F12">
        <v>2</v>
      </c>
      <c r="G12">
        <v>4</v>
      </c>
      <c r="H12">
        <v>5</v>
      </c>
      <c r="I12">
        <v>4</v>
      </c>
      <c r="J12">
        <v>4</v>
      </c>
      <c r="K12">
        <v>4</v>
      </c>
      <c r="L12">
        <v>5</v>
      </c>
    </row>
    <row r="13" spans="1:44" ht="15.6" x14ac:dyDescent="0.3">
      <c r="A13">
        <v>4</v>
      </c>
      <c r="B13">
        <v>2</v>
      </c>
      <c r="C13">
        <v>1</v>
      </c>
      <c r="D13">
        <v>2</v>
      </c>
      <c r="E13">
        <v>1</v>
      </c>
      <c r="F13">
        <v>3</v>
      </c>
      <c r="G13">
        <v>5</v>
      </c>
      <c r="H13">
        <v>5</v>
      </c>
      <c r="I13">
        <v>5</v>
      </c>
      <c r="J13">
        <v>3</v>
      </c>
      <c r="K13">
        <v>5</v>
      </c>
      <c r="L13">
        <v>2</v>
      </c>
      <c r="AQ13" s="74"/>
      <c r="AR13" s="74"/>
    </row>
    <row r="14" spans="1:44" x14ac:dyDescent="0.3">
      <c r="A14">
        <v>4</v>
      </c>
      <c r="B14">
        <v>2</v>
      </c>
      <c r="C14">
        <v>2</v>
      </c>
      <c r="D14">
        <v>2</v>
      </c>
      <c r="E14">
        <v>3</v>
      </c>
      <c r="F14">
        <v>2</v>
      </c>
      <c r="G14">
        <v>5</v>
      </c>
      <c r="H14">
        <v>5</v>
      </c>
      <c r="I14">
        <v>4</v>
      </c>
      <c r="J14">
        <v>4</v>
      </c>
      <c r="K14">
        <v>3</v>
      </c>
      <c r="L14">
        <v>3</v>
      </c>
    </row>
    <row r="15" spans="1:44" x14ac:dyDescent="0.3">
      <c r="A15">
        <v>4</v>
      </c>
      <c r="B15">
        <v>2</v>
      </c>
      <c r="C15">
        <v>1</v>
      </c>
      <c r="D15">
        <v>1</v>
      </c>
      <c r="E15">
        <v>1</v>
      </c>
      <c r="F15">
        <v>2</v>
      </c>
      <c r="G15">
        <v>3</v>
      </c>
      <c r="H15">
        <v>2</v>
      </c>
      <c r="I15">
        <v>4</v>
      </c>
      <c r="J15">
        <v>2</v>
      </c>
      <c r="K15">
        <v>3</v>
      </c>
      <c r="L15">
        <v>2</v>
      </c>
      <c r="P15" s="106" t="s">
        <v>359</v>
      </c>
      <c r="Q15" s="106"/>
      <c r="R15" s="106"/>
      <c r="S15" s="106"/>
      <c r="T15" s="106"/>
      <c r="U15" s="106"/>
      <c r="Y15" s="106" t="s">
        <v>361</v>
      </c>
      <c r="Z15" s="106"/>
      <c r="AA15" s="106"/>
      <c r="AB15" s="106"/>
      <c r="AC15" s="106"/>
      <c r="AD15" s="106"/>
      <c r="AG15" s="106" t="s">
        <v>367</v>
      </c>
      <c r="AH15" s="106"/>
      <c r="AI15" s="106"/>
      <c r="AJ15" s="106"/>
      <c r="AK15" s="106"/>
      <c r="AL15" s="106"/>
      <c r="AM15" s="106"/>
      <c r="AP15" s="2" t="s">
        <v>204</v>
      </c>
      <c r="AQ15">
        <v>0.05</v>
      </c>
    </row>
    <row r="16" spans="1:44" ht="15.6" x14ac:dyDescent="0.3">
      <c r="A16">
        <v>5</v>
      </c>
      <c r="B16">
        <v>2</v>
      </c>
      <c r="C16">
        <v>1</v>
      </c>
      <c r="D16">
        <v>5</v>
      </c>
      <c r="E16">
        <v>1</v>
      </c>
      <c r="F16">
        <v>2</v>
      </c>
      <c r="G16">
        <v>3</v>
      </c>
      <c r="H16">
        <v>5</v>
      </c>
      <c r="I16">
        <v>4</v>
      </c>
      <c r="J16">
        <v>3</v>
      </c>
      <c r="K16">
        <v>4</v>
      </c>
      <c r="L16">
        <v>2</v>
      </c>
      <c r="O16" s="11" t="s">
        <v>217</v>
      </c>
      <c r="P16" s="10">
        <v>1</v>
      </c>
      <c r="Q16" s="10">
        <v>2</v>
      </c>
      <c r="R16" s="10">
        <v>3</v>
      </c>
      <c r="S16" s="10">
        <v>4</v>
      </c>
      <c r="T16" s="10">
        <v>5</v>
      </c>
      <c r="U16" s="10"/>
      <c r="V16" s="44"/>
      <c r="X16" s="11" t="s">
        <v>217</v>
      </c>
      <c r="Y16" s="10">
        <v>1</v>
      </c>
      <c r="Z16" s="10">
        <v>2</v>
      </c>
      <c r="AA16" s="10">
        <v>3</v>
      </c>
      <c r="AB16" s="10">
        <v>4</v>
      </c>
      <c r="AC16" s="10">
        <v>5</v>
      </c>
      <c r="AD16" s="10"/>
      <c r="AE16" s="52"/>
      <c r="AG16" s="11" t="s">
        <v>4</v>
      </c>
      <c r="AH16" s="10">
        <v>1</v>
      </c>
      <c r="AI16" s="10">
        <v>2</v>
      </c>
      <c r="AJ16" s="10">
        <v>3</v>
      </c>
      <c r="AK16" s="10">
        <v>4</v>
      </c>
      <c r="AL16" s="10">
        <v>5</v>
      </c>
      <c r="AM16" s="10"/>
      <c r="AP16" s="2" t="s">
        <v>205</v>
      </c>
      <c r="AQ16">
        <f>4*1</f>
        <v>4</v>
      </c>
    </row>
    <row r="17" spans="1:44" ht="15.6" x14ac:dyDescent="0.3">
      <c r="A17">
        <v>3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  <c r="I17">
        <v>4</v>
      </c>
      <c r="J17">
        <v>2</v>
      </c>
      <c r="K17">
        <v>2</v>
      </c>
      <c r="L17">
        <v>2</v>
      </c>
      <c r="O17" s="42">
        <v>1</v>
      </c>
      <c r="P17">
        <f>COUNTIFS($B$2:$B$137,"1",$H$2:$H$137,"1")</f>
        <v>0</v>
      </c>
      <c r="Q17">
        <f>COUNTIFS($B$2:$B$137,"1",$H$2:$H$137,"2")</f>
        <v>1</v>
      </c>
      <c r="R17">
        <f>COUNTIFS($B$2:$B$137,"1",$H$2:$H$137,"3")</f>
        <v>1</v>
      </c>
      <c r="S17">
        <f>COUNTIFS($B$2:$B$137,"1",$H$2:$H$137,"4")</f>
        <v>1</v>
      </c>
      <c r="T17">
        <f>COUNTIFS($B$2:$B$137,"1",$H$2:$H$137,"5")</f>
        <v>1</v>
      </c>
      <c r="U17" s="43">
        <f>SUM(P17:T17)</f>
        <v>4</v>
      </c>
      <c r="V17" s="43"/>
      <c r="X17" s="42">
        <v>1</v>
      </c>
      <c r="Y17">
        <f>$U17*P$19/$U$19</f>
        <v>2.9411764705882353E-2</v>
      </c>
      <c r="Z17">
        <f t="shared" ref="Z17:AC18" si="3">$U17*Q$19/$U$19</f>
        <v>0.23529411764705882</v>
      </c>
      <c r="AA17">
        <f t="shared" si="3"/>
        <v>0.38235294117647056</v>
      </c>
      <c r="AB17">
        <f t="shared" si="3"/>
        <v>1.7058823529411764</v>
      </c>
      <c r="AC17">
        <f t="shared" si="3"/>
        <v>1.6470588235294117</v>
      </c>
      <c r="AD17" s="43">
        <f>SUM(Y17:AC17)</f>
        <v>3.9999999999999996</v>
      </c>
      <c r="AE17" s="43"/>
      <c r="AG17" s="42">
        <v>1</v>
      </c>
      <c r="AH17">
        <f t="shared" ref="AH17:AL18" si="4">(P17-Y17)^2/Y17</f>
        <v>2.9411764705882353E-2</v>
      </c>
      <c r="AI17">
        <f t="shared" si="4"/>
        <v>2.4852941176470589</v>
      </c>
      <c r="AJ17">
        <f t="shared" si="4"/>
        <v>0.99773755656108609</v>
      </c>
      <c r="AK17">
        <f t="shared" si="4"/>
        <v>0.29208924949290055</v>
      </c>
      <c r="AL17">
        <f t="shared" si="4"/>
        <v>0.25420168067226889</v>
      </c>
      <c r="AM17" s="54">
        <f>SUM(AH17:AL17)</f>
        <v>4.0587343690791968</v>
      </c>
      <c r="AN17" s="44"/>
      <c r="AP17" s="2" t="s">
        <v>202</v>
      </c>
      <c r="AQ17" s="57">
        <f>SUM(AH17:AL18)</f>
        <v>4.1817263196573542</v>
      </c>
    </row>
    <row r="18" spans="1:44" ht="15.6" x14ac:dyDescent="0.3">
      <c r="A18">
        <v>5</v>
      </c>
      <c r="B18">
        <v>2</v>
      </c>
      <c r="C18">
        <v>2</v>
      </c>
      <c r="D18">
        <v>4</v>
      </c>
      <c r="E18">
        <v>2</v>
      </c>
      <c r="F18">
        <v>1</v>
      </c>
      <c r="G18">
        <v>5</v>
      </c>
      <c r="H18">
        <v>3</v>
      </c>
      <c r="I18">
        <v>4</v>
      </c>
      <c r="J18">
        <v>3</v>
      </c>
      <c r="K18">
        <v>2</v>
      </c>
      <c r="L18">
        <v>1</v>
      </c>
      <c r="O18" s="42">
        <v>2</v>
      </c>
      <c r="P18">
        <f>COUNTIFS($B$2:$B$137,"2",$H$2:$H$137,"1")</f>
        <v>1</v>
      </c>
      <c r="Q18">
        <f>COUNTIFS($B$2:$B$137,"2",$H$2:$H$137,"2")</f>
        <v>7</v>
      </c>
      <c r="R18">
        <f>COUNTIFS($B$2:$B$137,"2",$H$2:$H$137,"3")</f>
        <v>12</v>
      </c>
      <c r="S18">
        <f>COUNTIFS($B$2:$B$137,"2",$H$2:$H$137,"4")</f>
        <v>57</v>
      </c>
      <c r="T18">
        <f>COUNTIFS($B$2:$B$137,"2",$H$2:$H$137,"5")</f>
        <v>55</v>
      </c>
      <c r="U18" s="43">
        <f>SUM(P18:T18)</f>
        <v>132</v>
      </c>
      <c r="V18" s="43"/>
      <c r="X18" s="42">
        <v>2</v>
      </c>
      <c r="Y18">
        <f>$U18*P$19/$U$19</f>
        <v>0.97058823529411764</v>
      </c>
      <c r="Z18">
        <f t="shared" si="3"/>
        <v>7.7647058823529411</v>
      </c>
      <c r="AA18">
        <f t="shared" si="3"/>
        <v>12.617647058823529</v>
      </c>
      <c r="AB18">
        <f t="shared" si="3"/>
        <v>56.294117647058826</v>
      </c>
      <c r="AC18">
        <f t="shared" si="3"/>
        <v>54.352941176470587</v>
      </c>
      <c r="AD18" s="43">
        <f>SUM(Y18:AC18)</f>
        <v>132</v>
      </c>
      <c r="AE18" s="43"/>
      <c r="AG18" s="42">
        <v>2</v>
      </c>
      <c r="AH18">
        <f t="shared" si="4"/>
        <v>8.9126559714795047E-4</v>
      </c>
      <c r="AI18">
        <f t="shared" si="4"/>
        <v>7.5311942959001774E-2</v>
      </c>
      <c r="AJ18">
        <f t="shared" si="4"/>
        <v>3.0234471410941956E-2</v>
      </c>
      <c r="AK18">
        <f t="shared" si="4"/>
        <v>8.8511893785726825E-3</v>
      </c>
      <c r="AL18">
        <f t="shared" si="4"/>
        <v>7.7030812324930279E-3</v>
      </c>
      <c r="AM18" s="56">
        <f>SUM(AH18:AL18)</f>
        <v>0.12299195057815739</v>
      </c>
      <c r="AN18" s="43"/>
      <c r="AP18" s="2" t="s">
        <v>203</v>
      </c>
      <c r="AQ18" s="50">
        <v>9.49</v>
      </c>
    </row>
    <row r="19" spans="1:44" ht="15.6" x14ac:dyDescent="0.3">
      <c r="A19">
        <v>4</v>
      </c>
      <c r="B19">
        <v>2</v>
      </c>
      <c r="C19">
        <v>3</v>
      </c>
      <c r="D19">
        <v>3</v>
      </c>
      <c r="E19">
        <v>4</v>
      </c>
      <c r="F19">
        <v>2</v>
      </c>
      <c r="G19">
        <v>3</v>
      </c>
      <c r="H19">
        <v>4</v>
      </c>
      <c r="I19">
        <v>5</v>
      </c>
      <c r="J19">
        <v>4</v>
      </c>
      <c r="K19">
        <v>5</v>
      </c>
      <c r="L19">
        <v>4</v>
      </c>
      <c r="O19" s="42"/>
      <c r="P19" s="51">
        <f t="shared" ref="P19:U19" si="5">SUM(P17:P18)</f>
        <v>1</v>
      </c>
      <c r="Q19" s="51">
        <f t="shared" si="5"/>
        <v>8</v>
      </c>
      <c r="R19" s="51">
        <f t="shared" si="5"/>
        <v>13</v>
      </c>
      <c r="S19" s="51">
        <f t="shared" si="5"/>
        <v>58</v>
      </c>
      <c r="T19" s="51">
        <f t="shared" si="5"/>
        <v>56</v>
      </c>
      <c r="U19" s="48">
        <f t="shared" si="5"/>
        <v>136</v>
      </c>
      <c r="V19" s="43"/>
      <c r="X19" s="42"/>
      <c r="Y19" s="51">
        <f t="shared" ref="Y19:AD19" si="6">SUM(Y17:Y18)</f>
        <v>1</v>
      </c>
      <c r="Z19" s="51">
        <f t="shared" si="6"/>
        <v>8</v>
      </c>
      <c r="AA19" s="51">
        <f t="shared" si="6"/>
        <v>13</v>
      </c>
      <c r="AB19" s="51">
        <f t="shared" si="6"/>
        <v>58</v>
      </c>
      <c r="AC19" s="51">
        <f t="shared" si="6"/>
        <v>56</v>
      </c>
      <c r="AD19" s="48">
        <f t="shared" si="6"/>
        <v>136</v>
      </c>
      <c r="AE19" s="43"/>
      <c r="AG19" s="61"/>
      <c r="AH19" s="54">
        <f t="shared" ref="AH19:AM19" si="7">SUM(AH17:AH18)</f>
        <v>3.0303030303030304E-2</v>
      </c>
      <c r="AI19" s="54">
        <f t="shared" si="7"/>
        <v>2.5606060606060606</v>
      </c>
      <c r="AJ19" s="54">
        <f t="shared" si="7"/>
        <v>1.0279720279720281</v>
      </c>
      <c r="AK19" s="54">
        <f t="shared" si="7"/>
        <v>0.30094043887147326</v>
      </c>
      <c r="AL19" s="54">
        <f t="shared" si="7"/>
        <v>0.26190476190476192</v>
      </c>
      <c r="AM19" s="48">
        <f t="shared" si="7"/>
        <v>4.1817263196573542</v>
      </c>
      <c r="AN19" s="43"/>
      <c r="AP19" s="2" t="s">
        <v>206</v>
      </c>
      <c r="AQ19">
        <f>_xlfn.CHISQ.DIST.RT(AQ17,AQ16)</f>
        <v>0.38197016780488491</v>
      </c>
    </row>
    <row r="20" spans="1:44" ht="15.6" x14ac:dyDescent="0.3">
      <c r="A20">
        <v>5</v>
      </c>
      <c r="B20">
        <v>2</v>
      </c>
      <c r="C20">
        <v>3</v>
      </c>
      <c r="D20">
        <v>5</v>
      </c>
      <c r="E20">
        <v>4</v>
      </c>
      <c r="F20">
        <v>2</v>
      </c>
      <c r="G20">
        <v>4</v>
      </c>
      <c r="H20">
        <v>5</v>
      </c>
      <c r="I20">
        <v>4</v>
      </c>
      <c r="J20">
        <v>2</v>
      </c>
      <c r="K20">
        <v>4</v>
      </c>
      <c r="L20">
        <v>2</v>
      </c>
      <c r="O20" s="42"/>
      <c r="U20" s="43"/>
      <c r="V20" s="43"/>
      <c r="X20" s="42"/>
      <c r="AD20" s="43"/>
      <c r="AE20" s="43"/>
      <c r="AG20" s="61"/>
      <c r="AM20" s="45"/>
      <c r="AN20" s="43"/>
      <c r="AP20" t="s">
        <v>210</v>
      </c>
    </row>
    <row r="21" spans="1:44" ht="15.6" x14ac:dyDescent="0.3">
      <c r="A21">
        <v>5</v>
      </c>
      <c r="B21">
        <v>2</v>
      </c>
      <c r="C21">
        <v>1</v>
      </c>
      <c r="D21">
        <v>5</v>
      </c>
      <c r="E21">
        <v>1</v>
      </c>
      <c r="F21">
        <v>2</v>
      </c>
      <c r="G21">
        <v>4</v>
      </c>
      <c r="H21">
        <v>4</v>
      </c>
      <c r="I21">
        <v>5</v>
      </c>
      <c r="J21">
        <v>4</v>
      </c>
      <c r="K21">
        <v>5</v>
      </c>
      <c r="L21">
        <v>3</v>
      </c>
      <c r="O21" s="42"/>
      <c r="U21" s="43"/>
      <c r="V21" s="43"/>
      <c r="X21" s="42"/>
      <c r="AD21" s="43"/>
      <c r="AE21" s="43"/>
      <c r="AG21" s="61"/>
      <c r="AM21" s="45"/>
      <c r="AN21" s="43"/>
      <c r="AP21" s="2" t="s">
        <v>299</v>
      </c>
      <c r="AQ21" s="50">
        <f>SQRT(AQ17/($AQ$9*$AQ$10))</f>
        <v>0.17535104118464587</v>
      </c>
      <c r="AR21" t="s">
        <v>337</v>
      </c>
    </row>
    <row r="22" spans="1:44" ht="15.6" x14ac:dyDescent="0.3">
      <c r="A22">
        <v>3</v>
      </c>
      <c r="B22">
        <v>2</v>
      </c>
      <c r="C22">
        <v>2</v>
      </c>
      <c r="D22">
        <v>3</v>
      </c>
      <c r="E22">
        <v>3</v>
      </c>
      <c r="F22">
        <v>2</v>
      </c>
      <c r="G22">
        <v>1</v>
      </c>
      <c r="H22">
        <v>4</v>
      </c>
      <c r="I22">
        <v>4</v>
      </c>
      <c r="J22">
        <v>2</v>
      </c>
      <c r="K22">
        <v>4</v>
      </c>
      <c r="L22">
        <v>2</v>
      </c>
      <c r="O22" s="42"/>
      <c r="U22" s="43"/>
      <c r="V22" s="43"/>
      <c r="X22" s="42"/>
      <c r="AD22" s="43"/>
      <c r="AE22" s="43"/>
      <c r="AG22" s="61"/>
      <c r="AM22" s="45"/>
      <c r="AN22" s="43"/>
    </row>
    <row r="23" spans="1:44" ht="18" x14ac:dyDescent="0.35">
      <c r="A23">
        <v>4</v>
      </c>
      <c r="B23">
        <v>2</v>
      </c>
      <c r="C23">
        <v>2</v>
      </c>
      <c r="D23">
        <v>4</v>
      </c>
      <c r="E23">
        <v>2</v>
      </c>
      <c r="F23">
        <v>2</v>
      </c>
      <c r="G23">
        <v>4</v>
      </c>
      <c r="H23">
        <v>5</v>
      </c>
      <c r="I23">
        <v>5</v>
      </c>
      <c r="J23">
        <v>4</v>
      </c>
      <c r="K23">
        <v>4</v>
      </c>
      <c r="L23">
        <v>4</v>
      </c>
      <c r="P23" s="43"/>
      <c r="Q23" s="43"/>
      <c r="R23" s="43"/>
      <c r="S23" s="43"/>
      <c r="T23" s="43"/>
      <c r="U23" s="48"/>
      <c r="V23" s="46"/>
      <c r="Y23" s="43"/>
      <c r="Z23" s="43"/>
      <c r="AA23" s="43"/>
      <c r="AB23" s="43"/>
      <c r="AC23" s="43"/>
      <c r="AD23" s="48"/>
      <c r="AE23" s="43"/>
      <c r="AH23" s="48"/>
      <c r="AI23" s="48"/>
      <c r="AJ23" s="48"/>
      <c r="AK23" s="48"/>
      <c r="AL23" s="48"/>
      <c r="AM23" s="46"/>
      <c r="AN23" s="43"/>
    </row>
    <row r="24" spans="1:44" ht="18" x14ac:dyDescent="0.35">
      <c r="A24">
        <v>4</v>
      </c>
      <c r="B24">
        <v>2</v>
      </c>
      <c r="C24">
        <v>2</v>
      </c>
      <c r="D24">
        <v>4</v>
      </c>
      <c r="E24">
        <v>2</v>
      </c>
      <c r="F24">
        <v>3</v>
      </c>
      <c r="G24">
        <v>2</v>
      </c>
      <c r="H24">
        <v>4</v>
      </c>
      <c r="I24">
        <v>5</v>
      </c>
      <c r="J24">
        <v>5</v>
      </c>
      <c r="K24">
        <v>4</v>
      </c>
      <c r="L24">
        <v>5</v>
      </c>
      <c r="AN24" s="46"/>
    </row>
    <row r="25" spans="1:44" x14ac:dyDescent="0.3">
      <c r="A25">
        <v>2</v>
      </c>
      <c r="B25">
        <v>2</v>
      </c>
      <c r="C25">
        <v>2</v>
      </c>
      <c r="D25">
        <v>1</v>
      </c>
      <c r="E25">
        <v>2</v>
      </c>
      <c r="F25">
        <v>3</v>
      </c>
      <c r="G25">
        <v>4</v>
      </c>
      <c r="H25">
        <v>5</v>
      </c>
      <c r="I25">
        <v>5</v>
      </c>
      <c r="J25">
        <v>3</v>
      </c>
      <c r="K25">
        <v>4</v>
      </c>
      <c r="L25">
        <v>3</v>
      </c>
    </row>
    <row r="26" spans="1:44" x14ac:dyDescent="0.3">
      <c r="A26">
        <v>3</v>
      </c>
      <c r="B26">
        <v>2</v>
      </c>
      <c r="C26">
        <v>2</v>
      </c>
      <c r="D26">
        <v>2</v>
      </c>
      <c r="E26">
        <v>2</v>
      </c>
      <c r="F26">
        <v>3</v>
      </c>
      <c r="G26">
        <v>3</v>
      </c>
      <c r="H26">
        <v>4</v>
      </c>
      <c r="I26">
        <v>4</v>
      </c>
      <c r="J26">
        <v>3</v>
      </c>
      <c r="K26">
        <v>3</v>
      </c>
      <c r="L26">
        <v>4</v>
      </c>
    </row>
    <row r="27" spans="1:44" x14ac:dyDescent="0.3">
      <c r="A27">
        <v>3</v>
      </c>
      <c r="B27">
        <v>2</v>
      </c>
      <c r="C27">
        <v>2</v>
      </c>
      <c r="D27">
        <v>2</v>
      </c>
      <c r="E27">
        <v>2</v>
      </c>
      <c r="F27">
        <v>2</v>
      </c>
      <c r="G27">
        <v>3</v>
      </c>
      <c r="H27">
        <v>4</v>
      </c>
      <c r="I27">
        <v>4</v>
      </c>
      <c r="J27">
        <v>2</v>
      </c>
      <c r="K27">
        <v>4</v>
      </c>
      <c r="L27">
        <v>4</v>
      </c>
    </row>
    <row r="28" spans="1:44" x14ac:dyDescent="0.3">
      <c r="A28">
        <v>3</v>
      </c>
      <c r="B28">
        <v>2</v>
      </c>
      <c r="C28">
        <v>2</v>
      </c>
      <c r="D28">
        <v>2</v>
      </c>
      <c r="E28">
        <v>4</v>
      </c>
      <c r="F28">
        <v>3</v>
      </c>
      <c r="G28">
        <v>5</v>
      </c>
      <c r="H28">
        <v>5</v>
      </c>
      <c r="I28">
        <v>5</v>
      </c>
      <c r="J28">
        <v>3</v>
      </c>
      <c r="K28">
        <v>5</v>
      </c>
      <c r="L28">
        <v>5</v>
      </c>
    </row>
    <row r="29" spans="1:44" x14ac:dyDescent="0.3">
      <c r="A29">
        <v>3</v>
      </c>
      <c r="B29">
        <v>2</v>
      </c>
      <c r="C29">
        <v>1</v>
      </c>
      <c r="D29">
        <v>2</v>
      </c>
      <c r="E29">
        <v>1</v>
      </c>
      <c r="F29">
        <v>2</v>
      </c>
      <c r="G29">
        <v>1</v>
      </c>
      <c r="H29">
        <v>5</v>
      </c>
      <c r="I29">
        <v>4</v>
      </c>
      <c r="J29">
        <v>3</v>
      </c>
      <c r="K29">
        <v>5</v>
      </c>
      <c r="L29">
        <v>3</v>
      </c>
      <c r="P29" s="106" t="s">
        <v>344</v>
      </c>
      <c r="Q29" s="106"/>
      <c r="R29" s="106"/>
      <c r="S29" s="106"/>
      <c r="T29" s="106"/>
      <c r="U29" s="106"/>
      <c r="Y29" s="106" t="s">
        <v>362</v>
      </c>
      <c r="Z29" s="106"/>
      <c r="AA29" s="106"/>
      <c r="AB29" s="106"/>
      <c r="AC29" s="106"/>
      <c r="AD29" s="106"/>
      <c r="AG29" s="106" t="s">
        <v>368</v>
      </c>
      <c r="AH29" s="106"/>
      <c r="AI29" s="106"/>
      <c r="AJ29" s="106"/>
      <c r="AK29" s="106"/>
      <c r="AL29" s="106"/>
      <c r="AM29" s="106"/>
      <c r="AP29" s="2" t="s">
        <v>204</v>
      </c>
      <c r="AQ29">
        <v>0.05</v>
      </c>
    </row>
    <row r="30" spans="1:44" ht="15.6" x14ac:dyDescent="0.3">
      <c r="A30">
        <v>3</v>
      </c>
      <c r="B30">
        <v>2</v>
      </c>
      <c r="C30">
        <v>2</v>
      </c>
      <c r="D30">
        <v>2</v>
      </c>
      <c r="E30">
        <v>2</v>
      </c>
      <c r="F30">
        <v>2</v>
      </c>
      <c r="G30">
        <v>5</v>
      </c>
      <c r="H30">
        <v>2</v>
      </c>
      <c r="I30">
        <v>5</v>
      </c>
      <c r="J30">
        <v>5</v>
      </c>
      <c r="K30">
        <v>5</v>
      </c>
      <c r="L30">
        <v>5</v>
      </c>
      <c r="O30" s="11" t="s">
        <v>4</v>
      </c>
      <c r="P30" s="10">
        <v>1</v>
      </c>
      <c r="Q30" s="10">
        <v>2</v>
      </c>
      <c r="R30" s="10">
        <v>3</v>
      </c>
      <c r="S30" s="10">
        <v>4</v>
      </c>
      <c r="T30" s="10">
        <v>5</v>
      </c>
      <c r="U30" s="10"/>
      <c r="V30" s="44"/>
      <c r="X30" s="11" t="s">
        <v>4</v>
      </c>
      <c r="Y30" s="10">
        <v>1</v>
      </c>
      <c r="Z30" s="10">
        <v>2</v>
      </c>
      <c r="AA30" s="10">
        <v>3</v>
      </c>
      <c r="AB30" s="10">
        <v>4</v>
      </c>
      <c r="AC30" s="10">
        <v>5</v>
      </c>
      <c r="AD30" s="10"/>
      <c r="AE30" s="52"/>
      <c r="AG30" s="11" t="s">
        <v>4</v>
      </c>
      <c r="AH30" s="10">
        <v>1</v>
      </c>
      <c r="AI30" s="10">
        <v>2</v>
      </c>
      <c r="AJ30" s="10">
        <v>3</v>
      </c>
      <c r="AK30" s="10">
        <v>4</v>
      </c>
      <c r="AL30" s="10">
        <v>5</v>
      </c>
      <c r="AM30" s="10"/>
      <c r="AP30" s="2" t="s">
        <v>205</v>
      </c>
      <c r="AQ30">
        <f>4*1</f>
        <v>4</v>
      </c>
    </row>
    <row r="31" spans="1:44" ht="15.6" x14ac:dyDescent="0.3">
      <c r="A31">
        <v>5</v>
      </c>
      <c r="B31">
        <v>2</v>
      </c>
      <c r="C31">
        <v>2</v>
      </c>
      <c r="D31">
        <v>5</v>
      </c>
      <c r="E31">
        <v>2</v>
      </c>
      <c r="F31">
        <v>2</v>
      </c>
      <c r="G31">
        <v>2</v>
      </c>
      <c r="H31">
        <v>2</v>
      </c>
      <c r="I31">
        <v>4</v>
      </c>
      <c r="J31">
        <v>1</v>
      </c>
      <c r="K31">
        <v>2</v>
      </c>
      <c r="L31">
        <v>2</v>
      </c>
      <c r="O31" s="42">
        <v>1</v>
      </c>
      <c r="P31">
        <f>COUNTIFS($B$2:$B$137,"1",$I$2:$I$137,"1")</f>
        <v>0</v>
      </c>
      <c r="Q31">
        <f>COUNTIFS($B$2:$B$137,"1",$I$2:$I$137,"2")</f>
        <v>0</v>
      </c>
      <c r="R31">
        <f>COUNTIFS($B$2:$B$137,"1",$I$2:$I$137,"3")</f>
        <v>1</v>
      </c>
      <c r="S31">
        <f>COUNTIFS($B$2:$B$137,"1",$I$2:$I$137,"4")</f>
        <v>2</v>
      </c>
      <c r="T31">
        <f>COUNTIFS($B$2:$B$137,"1",$I$2:$I$137,"5")</f>
        <v>1</v>
      </c>
      <c r="U31" s="56">
        <f>SUM(P31:T31)</f>
        <v>4</v>
      </c>
      <c r="V31" s="43"/>
      <c r="X31" s="42">
        <v>1</v>
      </c>
      <c r="Y31">
        <f>$U31*P$33/$U$33</f>
        <v>2.9411764705882353E-2</v>
      </c>
      <c r="Z31">
        <f t="shared" ref="Z31:AC32" si="8">$U31*Q$33/$U$33</f>
        <v>2.9411764705882353E-2</v>
      </c>
      <c r="AA31">
        <f t="shared" si="8"/>
        <v>0.3235294117647059</v>
      </c>
      <c r="AB31">
        <f t="shared" si="8"/>
        <v>2.0882352941176472</v>
      </c>
      <c r="AC31">
        <f t="shared" si="8"/>
        <v>1.5294117647058822</v>
      </c>
      <c r="AD31" s="56">
        <f>SUM(Y31:AC31)</f>
        <v>4</v>
      </c>
      <c r="AE31" s="43"/>
      <c r="AG31" s="42">
        <v>1</v>
      </c>
      <c r="AH31">
        <f t="shared" ref="AH31:AL32" si="9">(P31-Y31)^2/Y31</f>
        <v>2.9411764705882353E-2</v>
      </c>
      <c r="AI31">
        <f>(Q31-Z31)^2/Z31</f>
        <v>2.9411764705882353E-2</v>
      </c>
      <c r="AJ31">
        <f>(R31-AA31)^2/AA31</f>
        <v>1.4144385026737969</v>
      </c>
      <c r="AK31">
        <f>(S31-AB31)^2/AB31</f>
        <v>3.7282518641259428E-3</v>
      </c>
      <c r="AL31">
        <f>(T31-AC31)^2/AC31</f>
        <v>0.18325791855203616</v>
      </c>
      <c r="AM31" s="54">
        <f>SUM(AH31:AL31)</f>
        <v>1.6602482025017238</v>
      </c>
      <c r="AN31" s="44"/>
      <c r="AP31" s="2" t="s">
        <v>202</v>
      </c>
      <c r="AQ31" s="10">
        <f>SUM(AH31:AL32)</f>
        <v>1.7105587540926852</v>
      </c>
    </row>
    <row r="32" spans="1:44" ht="15.6" x14ac:dyDescent="0.3">
      <c r="A32">
        <v>6</v>
      </c>
      <c r="B32">
        <v>2</v>
      </c>
      <c r="C32">
        <v>1</v>
      </c>
      <c r="D32">
        <v>5</v>
      </c>
      <c r="E32">
        <v>1</v>
      </c>
      <c r="F32">
        <v>1</v>
      </c>
      <c r="G32">
        <v>5</v>
      </c>
      <c r="H32">
        <v>4</v>
      </c>
      <c r="I32">
        <v>5</v>
      </c>
      <c r="J32">
        <v>5</v>
      </c>
      <c r="K32">
        <v>5</v>
      </c>
      <c r="L32">
        <v>4</v>
      </c>
      <c r="O32" s="42">
        <v>2</v>
      </c>
      <c r="P32">
        <f>COUNTIFS($B$2:$B$137,"2",$I$2:$I$137,"1")</f>
        <v>1</v>
      </c>
      <c r="Q32">
        <f>COUNTIFS($B$2:$B$137,"2",$I$2:$I$137,"2")</f>
        <v>1</v>
      </c>
      <c r="R32">
        <f>COUNTIFS($B$2:$B$137,"2",$I$2:$I$137,"3")</f>
        <v>10</v>
      </c>
      <c r="S32">
        <f>COUNTIFS($B$2:$B$137,"2",$I$2:$I$137,"4")</f>
        <v>69</v>
      </c>
      <c r="T32">
        <f>COUNTIFS($B$2:$B$137,"2",$I$2:$I$137,"5")</f>
        <v>51</v>
      </c>
      <c r="U32" s="56">
        <f>SUM(P32:T32)</f>
        <v>132</v>
      </c>
      <c r="V32" s="43"/>
      <c r="X32" s="42">
        <v>2</v>
      </c>
      <c r="Y32">
        <f>$U32*P$33/$U$33</f>
        <v>0.97058823529411764</v>
      </c>
      <c r="Z32">
        <f t="shared" si="8"/>
        <v>0.97058823529411764</v>
      </c>
      <c r="AA32">
        <f t="shared" si="8"/>
        <v>10.676470588235293</v>
      </c>
      <c r="AB32">
        <f t="shared" si="8"/>
        <v>68.911764705882348</v>
      </c>
      <c r="AC32">
        <f t="shared" si="8"/>
        <v>50.470588235294116</v>
      </c>
      <c r="AD32" s="56">
        <f>SUM(Y32:AC32)</f>
        <v>132</v>
      </c>
      <c r="AE32" s="43"/>
      <c r="AG32" s="42">
        <v>2</v>
      </c>
      <c r="AH32">
        <f t="shared" si="9"/>
        <v>8.9126559714795047E-4</v>
      </c>
      <c r="AI32">
        <f t="shared" si="9"/>
        <v>8.9126559714795047E-4</v>
      </c>
      <c r="AJ32">
        <f t="shared" si="9"/>
        <v>4.286177280829679E-2</v>
      </c>
      <c r="AK32">
        <f t="shared" si="9"/>
        <v>1.1297732921595018E-4</v>
      </c>
      <c r="AL32">
        <f t="shared" si="9"/>
        <v>5.553270259152648E-3</v>
      </c>
      <c r="AM32" s="54">
        <f>SUM(AH32:AL32)</f>
        <v>5.0310551590961296E-2</v>
      </c>
      <c r="AN32" s="43"/>
      <c r="AP32" s="2" t="s">
        <v>203</v>
      </c>
      <c r="AQ32" s="50">
        <v>9.49</v>
      </c>
    </row>
    <row r="33" spans="1:44" ht="15.6" x14ac:dyDescent="0.3">
      <c r="A33">
        <v>3</v>
      </c>
      <c r="B33">
        <v>2</v>
      </c>
      <c r="C33">
        <v>2</v>
      </c>
      <c r="D33">
        <v>2</v>
      </c>
      <c r="E33">
        <v>2</v>
      </c>
      <c r="F33">
        <v>2</v>
      </c>
      <c r="G33">
        <v>3</v>
      </c>
      <c r="H33">
        <v>5</v>
      </c>
      <c r="I33">
        <v>4</v>
      </c>
      <c r="J33">
        <v>3</v>
      </c>
      <c r="K33">
        <v>4</v>
      </c>
      <c r="L33">
        <v>3</v>
      </c>
      <c r="O33" s="42"/>
      <c r="P33" s="54">
        <f t="shared" ref="P33:U33" si="10">SUM(P31:P32)</f>
        <v>1</v>
      </c>
      <c r="Q33" s="54">
        <f t="shared" si="10"/>
        <v>1</v>
      </c>
      <c r="R33" s="54">
        <f t="shared" si="10"/>
        <v>11</v>
      </c>
      <c r="S33" s="54">
        <f t="shared" si="10"/>
        <v>71</v>
      </c>
      <c r="T33" s="54">
        <f t="shared" si="10"/>
        <v>52</v>
      </c>
      <c r="U33" s="45">
        <f t="shared" si="10"/>
        <v>136</v>
      </c>
      <c r="V33" s="43"/>
      <c r="X33" s="42"/>
      <c r="Y33" s="54">
        <f t="shared" ref="Y33:AD33" si="11">SUM(Y31:Y32)</f>
        <v>1</v>
      </c>
      <c r="Z33" s="54">
        <f t="shared" si="11"/>
        <v>1</v>
      </c>
      <c r="AA33" s="54">
        <f t="shared" si="11"/>
        <v>11</v>
      </c>
      <c r="AB33" s="54">
        <f t="shared" si="11"/>
        <v>71</v>
      </c>
      <c r="AC33" s="54">
        <f t="shared" si="11"/>
        <v>52</v>
      </c>
      <c r="AD33" s="48">
        <f t="shared" si="11"/>
        <v>136</v>
      </c>
      <c r="AE33" s="43"/>
      <c r="AG33" s="61"/>
      <c r="AH33" s="54">
        <f>SUM(AH31:AH32)</f>
        <v>3.0303030303030304E-2</v>
      </c>
      <c r="AI33" s="54">
        <f>SUM(AI31:AI32)</f>
        <v>3.0303030303030304E-2</v>
      </c>
      <c r="AJ33" s="54">
        <f>SUM(AJ31:AJ32)</f>
        <v>1.4573002754820936</v>
      </c>
      <c r="AK33" s="54">
        <f>SUM(AK31:AK32)</f>
        <v>3.8412291933418931E-3</v>
      </c>
      <c r="AL33" s="54">
        <f>SUM(AL31:AL32)</f>
        <v>0.1888111888111888</v>
      </c>
      <c r="AM33" s="45">
        <f>SUM(AH33:AL33)</f>
        <v>1.7105587540926848</v>
      </c>
      <c r="AN33" s="43"/>
      <c r="AP33" s="2" t="s">
        <v>206</v>
      </c>
      <c r="AQ33">
        <f>_xlfn.CHISQ.DIST.RT(AQ31,AQ30)</f>
        <v>0.7887987307734976</v>
      </c>
    </row>
    <row r="34" spans="1:44" ht="15.6" x14ac:dyDescent="0.3">
      <c r="A34">
        <v>3</v>
      </c>
      <c r="B34">
        <v>2</v>
      </c>
      <c r="C34">
        <v>2</v>
      </c>
      <c r="D34">
        <v>1</v>
      </c>
      <c r="E34">
        <v>2</v>
      </c>
      <c r="F34">
        <v>2</v>
      </c>
      <c r="G34">
        <v>5</v>
      </c>
      <c r="H34">
        <v>4</v>
      </c>
      <c r="I34">
        <v>4</v>
      </c>
      <c r="J34">
        <v>3</v>
      </c>
      <c r="K34">
        <v>5</v>
      </c>
      <c r="L34">
        <v>4</v>
      </c>
      <c r="O34" s="42"/>
      <c r="U34" s="43"/>
      <c r="V34" s="43"/>
      <c r="X34" s="42"/>
      <c r="AD34" s="43"/>
      <c r="AE34" s="43"/>
      <c r="AG34" s="61"/>
      <c r="AM34" s="45"/>
      <c r="AN34" s="43"/>
      <c r="AP34" t="s">
        <v>210</v>
      </c>
    </row>
    <row r="35" spans="1:44" ht="15.6" x14ac:dyDescent="0.3">
      <c r="A35">
        <v>5</v>
      </c>
      <c r="B35">
        <v>2</v>
      </c>
      <c r="C35">
        <v>3</v>
      </c>
      <c r="D35">
        <v>5</v>
      </c>
      <c r="E35">
        <v>4</v>
      </c>
      <c r="F35">
        <v>1</v>
      </c>
      <c r="G35">
        <v>4</v>
      </c>
      <c r="H35">
        <v>5</v>
      </c>
      <c r="I35">
        <v>5</v>
      </c>
      <c r="J35">
        <v>4</v>
      </c>
      <c r="K35">
        <v>3</v>
      </c>
      <c r="L35">
        <v>4</v>
      </c>
      <c r="O35" s="42"/>
      <c r="U35" s="43"/>
      <c r="V35" s="43"/>
      <c r="X35" s="42"/>
      <c r="AD35" s="43"/>
      <c r="AE35" s="43"/>
      <c r="AG35" s="61"/>
      <c r="AM35" s="45"/>
      <c r="AN35" s="43"/>
      <c r="AP35" s="2" t="s">
        <v>299</v>
      </c>
      <c r="AQ35" s="50">
        <f>SQRT(AQ31/($AQ$9*$AQ$10))</f>
        <v>0.11215006864795193</v>
      </c>
      <c r="AR35" t="s">
        <v>337</v>
      </c>
    </row>
    <row r="36" spans="1:44" ht="15.6" x14ac:dyDescent="0.3">
      <c r="A36">
        <v>5</v>
      </c>
      <c r="B36">
        <v>2</v>
      </c>
      <c r="C36">
        <v>2</v>
      </c>
      <c r="D36">
        <v>5</v>
      </c>
      <c r="E36">
        <v>2</v>
      </c>
      <c r="F36">
        <v>2</v>
      </c>
      <c r="G36">
        <v>4</v>
      </c>
      <c r="H36">
        <v>5</v>
      </c>
      <c r="I36">
        <v>4</v>
      </c>
      <c r="J36">
        <v>3</v>
      </c>
      <c r="K36">
        <v>5</v>
      </c>
      <c r="L36">
        <v>4</v>
      </c>
      <c r="O36" s="42"/>
      <c r="U36" s="43"/>
      <c r="V36" s="43"/>
      <c r="X36" s="42"/>
      <c r="AD36" s="43"/>
      <c r="AE36" s="43"/>
      <c r="AG36" s="61"/>
      <c r="AM36" s="45"/>
      <c r="AN36" s="43"/>
    </row>
    <row r="37" spans="1:44" ht="18" x14ac:dyDescent="0.35">
      <c r="A37">
        <v>5</v>
      </c>
      <c r="B37">
        <v>2</v>
      </c>
      <c r="C37">
        <v>2</v>
      </c>
      <c r="D37">
        <v>4</v>
      </c>
      <c r="E37">
        <v>4</v>
      </c>
      <c r="F37">
        <v>1</v>
      </c>
      <c r="G37">
        <v>5</v>
      </c>
      <c r="H37">
        <v>4</v>
      </c>
      <c r="I37">
        <v>4</v>
      </c>
      <c r="J37">
        <v>5</v>
      </c>
      <c r="K37">
        <v>4</v>
      </c>
      <c r="L37">
        <v>2</v>
      </c>
      <c r="P37" s="43"/>
      <c r="Q37" s="43"/>
      <c r="R37" s="43"/>
      <c r="S37" s="43"/>
      <c r="T37" s="43"/>
      <c r="U37" s="43"/>
      <c r="V37" s="43"/>
      <c r="Y37" s="43"/>
      <c r="Z37" s="43"/>
      <c r="AA37" s="43"/>
      <c r="AB37" s="43"/>
      <c r="AC37" s="43"/>
      <c r="AD37" s="48"/>
      <c r="AE37" s="43"/>
      <c r="AH37" s="48"/>
      <c r="AI37" s="48"/>
      <c r="AJ37" s="48"/>
      <c r="AK37" s="48"/>
      <c r="AL37" s="48"/>
      <c r="AM37" s="46"/>
      <c r="AN37" s="43"/>
    </row>
    <row r="38" spans="1:44" x14ac:dyDescent="0.3">
      <c r="A38">
        <v>3</v>
      </c>
      <c r="B38">
        <v>2</v>
      </c>
      <c r="C38">
        <v>1</v>
      </c>
      <c r="D38">
        <v>2</v>
      </c>
      <c r="E38">
        <v>1</v>
      </c>
      <c r="F38">
        <v>2</v>
      </c>
      <c r="G38">
        <v>5</v>
      </c>
      <c r="H38">
        <v>5</v>
      </c>
      <c r="I38">
        <v>5</v>
      </c>
      <c r="J38">
        <v>3</v>
      </c>
      <c r="K38">
        <v>4</v>
      </c>
      <c r="L38">
        <v>3</v>
      </c>
    </row>
    <row r="39" spans="1:44" x14ac:dyDescent="0.3">
      <c r="A39">
        <v>6</v>
      </c>
      <c r="B39">
        <v>2</v>
      </c>
      <c r="C39">
        <v>1</v>
      </c>
      <c r="D39">
        <v>5</v>
      </c>
      <c r="E39">
        <v>2</v>
      </c>
      <c r="F39">
        <v>2</v>
      </c>
      <c r="G39">
        <v>5</v>
      </c>
      <c r="H39">
        <v>4</v>
      </c>
      <c r="I39">
        <v>4</v>
      </c>
      <c r="J39">
        <v>5</v>
      </c>
      <c r="K39">
        <v>5</v>
      </c>
      <c r="L39">
        <v>5</v>
      </c>
    </row>
    <row r="40" spans="1:44" x14ac:dyDescent="0.3">
      <c r="A40">
        <v>5</v>
      </c>
      <c r="B40">
        <v>2</v>
      </c>
      <c r="C40">
        <v>3</v>
      </c>
      <c r="D40">
        <v>5</v>
      </c>
      <c r="E40">
        <v>4</v>
      </c>
      <c r="F40">
        <v>2</v>
      </c>
      <c r="G40">
        <v>5</v>
      </c>
      <c r="H40">
        <v>5</v>
      </c>
      <c r="I40">
        <v>5</v>
      </c>
      <c r="J40">
        <v>3</v>
      </c>
      <c r="K40">
        <v>4</v>
      </c>
      <c r="L40">
        <v>4</v>
      </c>
    </row>
    <row r="41" spans="1:44" x14ac:dyDescent="0.3">
      <c r="A41">
        <v>3</v>
      </c>
      <c r="B41">
        <v>2</v>
      </c>
      <c r="C41">
        <v>2</v>
      </c>
      <c r="D41">
        <v>2</v>
      </c>
      <c r="E41">
        <v>2</v>
      </c>
      <c r="F41">
        <v>3</v>
      </c>
      <c r="G41">
        <v>2</v>
      </c>
      <c r="H41">
        <v>2</v>
      </c>
      <c r="I41">
        <v>4</v>
      </c>
      <c r="J41">
        <v>2</v>
      </c>
      <c r="K41">
        <v>4</v>
      </c>
      <c r="L41">
        <v>5</v>
      </c>
    </row>
    <row r="42" spans="1:44" x14ac:dyDescent="0.3">
      <c r="A42">
        <v>6</v>
      </c>
      <c r="B42">
        <v>2</v>
      </c>
      <c r="C42">
        <v>1</v>
      </c>
      <c r="D42">
        <v>5</v>
      </c>
      <c r="E42">
        <v>1</v>
      </c>
      <c r="F42">
        <v>1</v>
      </c>
      <c r="G42">
        <v>2</v>
      </c>
      <c r="H42">
        <v>2</v>
      </c>
      <c r="I42">
        <v>4</v>
      </c>
      <c r="J42">
        <v>2</v>
      </c>
      <c r="K42">
        <v>2</v>
      </c>
      <c r="L42">
        <v>2</v>
      </c>
    </row>
    <row r="43" spans="1:44" x14ac:dyDescent="0.3">
      <c r="A43">
        <v>5</v>
      </c>
      <c r="B43">
        <v>2</v>
      </c>
      <c r="C43">
        <v>1</v>
      </c>
      <c r="D43">
        <v>5</v>
      </c>
      <c r="E43">
        <v>1</v>
      </c>
      <c r="F43">
        <v>2</v>
      </c>
      <c r="G43">
        <v>4</v>
      </c>
      <c r="H43">
        <v>4</v>
      </c>
      <c r="I43">
        <v>4</v>
      </c>
      <c r="J43">
        <v>3</v>
      </c>
      <c r="K43">
        <v>5</v>
      </c>
      <c r="L43">
        <v>2</v>
      </c>
      <c r="P43" s="106" t="s">
        <v>345</v>
      </c>
      <c r="Q43" s="106"/>
      <c r="R43" s="106"/>
      <c r="S43" s="106"/>
      <c r="T43" s="106"/>
      <c r="U43" s="106"/>
      <c r="Y43" s="106" t="s">
        <v>363</v>
      </c>
      <c r="Z43" s="106"/>
      <c r="AA43" s="106"/>
      <c r="AB43" s="106"/>
      <c r="AC43" s="106"/>
      <c r="AD43" s="106"/>
      <c r="AG43" s="106" t="s">
        <v>369</v>
      </c>
      <c r="AH43" s="106"/>
      <c r="AI43" s="106"/>
      <c r="AJ43" s="106"/>
      <c r="AK43" s="106"/>
      <c r="AL43" s="106"/>
      <c r="AM43" s="106"/>
      <c r="AP43" s="2" t="s">
        <v>204</v>
      </c>
      <c r="AQ43">
        <v>0.05</v>
      </c>
    </row>
    <row r="44" spans="1:44" ht="15.6" x14ac:dyDescent="0.3">
      <c r="A44">
        <v>5</v>
      </c>
      <c r="B44">
        <v>1</v>
      </c>
      <c r="C44">
        <v>1</v>
      </c>
      <c r="D44">
        <v>5</v>
      </c>
      <c r="E44">
        <v>1</v>
      </c>
      <c r="F44">
        <v>2</v>
      </c>
      <c r="G44">
        <v>4</v>
      </c>
      <c r="H44">
        <v>5</v>
      </c>
      <c r="I44">
        <v>5</v>
      </c>
      <c r="J44">
        <v>3</v>
      </c>
      <c r="K44">
        <v>3</v>
      </c>
      <c r="L44">
        <v>3</v>
      </c>
      <c r="O44" s="11" t="s">
        <v>4</v>
      </c>
      <c r="P44" s="10">
        <v>1</v>
      </c>
      <c r="Q44" s="10">
        <v>2</v>
      </c>
      <c r="R44" s="10">
        <v>3</v>
      </c>
      <c r="S44" s="10">
        <v>4</v>
      </c>
      <c r="T44" s="10">
        <v>5</v>
      </c>
      <c r="U44" s="10"/>
      <c r="V44" s="44"/>
      <c r="X44" s="11" t="s">
        <v>4</v>
      </c>
      <c r="Y44" s="10">
        <v>1</v>
      </c>
      <c r="Z44" s="10">
        <v>2</v>
      </c>
      <c r="AA44" s="10">
        <v>3</v>
      </c>
      <c r="AB44" s="10">
        <v>4</v>
      </c>
      <c r="AC44" s="10">
        <v>5</v>
      </c>
      <c r="AD44" s="10"/>
      <c r="AE44" s="52"/>
      <c r="AG44" s="11" t="s">
        <v>4</v>
      </c>
      <c r="AH44" s="10">
        <v>1</v>
      </c>
      <c r="AI44" s="10">
        <v>2</v>
      </c>
      <c r="AJ44" s="10">
        <v>3</v>
      </c>
      <c r="AK44" s="10">
        <v>4</v>
      </c>
      <c r="AL44" s="10">
        <v>5</v>
      </c>
      <c r="AM44" s="10"/>
      <c r="AP44" s="2" t="s">
        <v>205</v>
      </c>
      <c r="AQ44">
        <f>5*4</f>
        <v>20</v>
      </c>
    </row>
    <row r="45" spans="1:44" ht="15.6" x14ac:dyDescent="0.3">
      <c r="A45">
        <v>5</v>
      </c>
      <c r="B45">
        <v>2</v>
      </c>
      <c r="C45">
        <v>3</v>
      </c>
      <c r="D45">
        <v>5</v>
      </c>
      <c r="E45">
        <v>3</v>
      </c>
      <c r="F45">
        <v>2</v>
      </c>
      <c r="G45">
        <v>3</v>
      </c>
      <c r="H45">
        <v>4</v>
      </c>
      <c r="I45">
        <v>5</v>
      </c>
      <c r="J45">
        <v>2</v>
      </c>
      <c r="K45">
        <v>2</v>
      </c>
      <c r="L45">
        <v>4</v>
      </c>
      <c r="O45" s="42">
        <v>1</v>
      </c>
      <c r="P45">
        <f>COUNTIFS($B$2:$B$137,"1",$J$2:$J$137,"1")</f>
        <v>0</v>
      </c>
      <c r="Q45">
        <f>COUNTIFS($B$2:$B$137,"1",$J$2:$J$137,"2")</f>
        <v>1</v>
      </c>
      <c r="R45">
        <f>COUNTIFS($B$2:$B$137,"1",$J$2:$J$137,"3")</f>
        <v>3</v>
      </c>
      <c r="S45">
        <f>COUNTIFS($B$2:$B$137,"1",$J$2:$J$137,"4")</f>
        <v>0</v>
      </c>
      <c r="T45">
        <f>COUNTIFS($B$2:$B$137,"1",$J$2:$J$137,"5")</f>
        <v>0</v>
      </c>
      <c r="U45" s="53">
        <f>SUM(P45:T45)</f>
        <v>4</v>
      </c>
      <c r="V45" s="43"/>
      <c r="X45" s="42">
        <v>1</v>
      </c>
      <c r="Y45">
        <f>$U45*P$47/$U$47</f>
        <v>0.11764705882352941</v>
      </c>
      <c r="Z45">
        <f t="shared" ref="Z45:AC46" si="12">$U45*Q$47/$U$47</f>
        <v>0.82352941176470584</v>
      </c>
      <c r="AA45">
        <f t="shared" si="12"/>
        <v>1.6176470588235294</v>
      </c>
      <c r="AB45">
        <f t="shared" si="12"/>
        <v>1.088235294117647</v>
      </c>
      <c r="AC45">
        <f t="shared" si="12"/>
        <v>0.35294117647058826</v>
      </c>
      <c r="AD45" s="43">
        <f>SUM(Y45:AC45)</f>
        <v>3.9999999999999996</v>
      </c>
      <c r="AE45" s="43"/>
      <c r="AG45" s="42">
        <v>1</v>
      </c>
      <c r="AH45">
        <f t="shared" ref="AH45:AL46" si="13">(P45-Y45)^2/Y45</f>
        <v>0.11764705882352941</v>
      </c>
      <c r="AI45">
        <f>(Q45-Z45)^2/Z45</f>
        <v>3.7815126050420186E-2</v>
      </c>
      <c r="AJ45">
        <f>(R45-AA45)^2/AA45</f>
        <v>1.1812834224598929</v>
      </c>
      <c r="AK45">
        <f>(S45-AB45)^2/AB45</f>
        <v>1.088235294117647</v>
      </c>
      <c r="AL45">
        <f>(T45-AC45)^2/AC45</f>
        <v>0.35294117647058826</v>
      </c>
      <c r="AM45" s="54">
        <f>SUM(AH45:AL45)</f>
        <v>2.7779220779220775</v>
      </c>
      <c r="AN45" s="44"/>
      <c r="AP45" s="2" t="s">
        <v>202</v>
      </c>
      <c r="AQ45" s="10">
        <f>SUM(AH45:AL46)</f>
        <v>2.862101534828807</v>
      </c>
    </row>
    <row r="46" spans="1:44" ht="15.6" x14ac:dyDescent="0.3">
      <c r="A46">
        <v>3</v>
      </c>
      <c r="B46">
        <v>2</v>
      </c>
      <c r="C46">
        <v>2</v>
      </c>
      <c r="D46">
        <v>3</v>
      </c>
      <c r="E46">
        <v>2</v>
      </c>
      <c r="F46">
        <v>2</v>
      </c>
      <c r="G46">
        <v>5</v>
      </c>
      <c r="H46">
        <v>5</v>
      </c>
      <c r="I46">
        <v>5</v>
      </c>
      <c r="J46">
        <v>5</v>
      </c>
      <c r="K46">
        <v>4</v>
      </c>
      <c r="L46">
        <v>5</v>
      </c>
      <c r="O46" s="42">
        <v>2</v>
      </c>
      <c r="P46">
        <f>COUNTIFS($B$2:$B$137,"2",$J$2:$J$137,"1")</f>
        <v>4</v>
      </c>
      <c r="Q46">
        <f>COUNTIFS($B$2:$B$137,"2",$J$2:$J$137,"2")</f>
        <v>27</v>
      </c>
      <c r="R46">
        <f>COUNTIFS($B$2:$B$137,"2",$J$2:$J$137,"3")</f>
        <v>52</v>
      </c>
      <c r="S46">
        <f>COUNTIFS($B$2:$B$137,"2",$J$2:$J$137,"4")</f>
        <v>37</v>
      </c>
      <c r="T46">
        <f>COUNTIFS($B$2:$B$137,"2",$J$2:$J$137,"5")</f>
        <v>12</v>
      </c>
      <c r="U46" s="53">
        <f>SUM(P46:T46)</f>
        <v>132</v>
      </c>
      <c r="V46" s="43"/>
      <c r="X46" s="42">
        <v>2</v>
      </c>
      <c r="Y46">
        <f>$U46*P$47/$U$47</f>
        <v>3.8823529411764706</v>
      </c>
      <c r="Z46">
        <f t="shared" si="12"/>
        <v>27.176470588235293</v>
      </c>
      <c r="AA46">
        <f>$U46*R$47/$U$47</f>
        <v>53.382352941176471</v>
      </c>
      <c r="AB46">
        <f>$U46*S$47/$U$47</f>
        <v>35.911764705882355</v>
      </c>
      <c r="AC46">
        <f>$U46*T$47/$U$47</f>
        <v>11.647058823529411</v>
      </c>
      <c r="AD46" s="43">
        <f>SUM(Y46:AC46)</f>
        <v>132</v>
      </c>
      <c r="AE46" s="43"/>
      <c r="AG46" s="42">
        <v>2</v>
      </c>
      <c r="AH46">
        <f t="shared" si="13"/>
        <v>3.5650623885918019E-3</v>
      </c>
      <c r="AI46">
        <f t="shared" si="13"/>
        <v>1.1459129106187848E-3</v>
      </c>
      <c r="AJ46">
        <f t="shared" si="13"/>
        <v>3.579646734726951E-2</v>
      </c>
      <c r="AK46">
        <f t="shared" si="13"/>
        <v>3.2976827094474026E-2</v>
      </c>
      <c r="AL46">
        <f t="shared" si="13"/>
        <v>1.0695187165775433E-2</v>
      </c>
      <c r="AM46" s="54">
        <f>SUM(AH46:AL46)</f>
        <v>8.4179456906729552E-2</v>
      </c>
      <c r="AN46" s="43"/>
      <c r="AP46" s="2" t="s">
        <v>203</v>
      </c>
      <c r="AQ46" s="50">
        <v>9.49</v>
      </c>
    </row>
    <row r="47" spans="1:44" ht="15.6" x14ac:dyDescent="0.3">
      <c r="A47">
        <v>5</v>
      </c>
      <c r="B47">
        <v>2</v>
      </c>
      <c r="C47">
        <v>3</v>
      </c>
      <c r="D47">
        <v>5</v>
      </c>
      <c r="E47">
        <v>3</v>
      </c>
      <c r="F47">
        <v>2</v>
      </c>
      <c r="G47">
        <v>4</v>
      </c>
      <c r="H47">
        <v>5</v>
      </c>
      <c r="I47">
        <v>5</v>
      </c>
      <c r="J47">
        <v>4</v>
      </c>
      <c r="K47">
        <v>4</v>
      </c>
      <c r="L47">
        <v>3</v>
      </c>
      <c r="O47" s="42"/>
      <c r="P47" s="53">
        <f t="shared" ref="P47:U47" si="14">SUM(P45:P46)</f>
        <v>4</v>
      </c>
      <c r="Q47" s="53">
        <f t="shared" si="14"/>
        <v>28</v>
      </c>
      <c r="R47" s="53">
        <f t="shared" si="14"/>
        <v>55</v>
      </c>
      <c r="S47" s="53">
        <f t="shared" si="14"/>
        <v>37</v>
      </c>
      <c r="T47" s="53">
        <f t="shared" si="14"/>
        <v>12</v>
      </c>
      <c r="U47" s="45">
        <f t="shared" si="14"/>
        <v>136</v>
      </c>
      <c r="V47" s="43"/>
      <c r="X47" s="42"/>
      <c r="Y47" s="51">
        <f t="shared" ref="Y47:AD47" si="15">SUM(Y45:Y46)</f>
        <v>4</v>
      </c>
      <c r="Z47" s="51">
        <f t="shared" si="15"/>
        <v>28</v>
      </c>
      <c r="AA47" s="51">
        <f t="shared" si="15"/>
        <v>55</v>
      </c>
      <c r="AB47" s="51">
        <f t="shared" si="15"/>
        <v>37</v>
      </c>
      <c r="AC47" s="51">
        <f t="shared" si="15"/>
        <v>12</v>
      </c>
      <c r="AD47" s="53">
        <f t="shared" si="15"/>
        <v>136</v>
      </c>
      <c r="AE47" s="43"/>
      <c r="AG47" s="42"/>
      <c r="AH47" s="54">
        <f t="shared" ref="AH47:AM47" si="16">SUM(AH45:AH46)</f>
        <v>0.12121212121212122</v>
      </c>
      <c r="AI47" s="54">
        <f t="shared" si="16"/>
        <v>3.8961038961038974E-2</v>
      </c>
      <c r="AJ47" s="54">
        <f t="shared" si="16"/>
        <v>1.2170798898071624</v>
      </c>
      <c r="AK47" s="54">
        <f t="shared" si="16"/>
        <v>1.1212121212121211</v>
      </c>
      <c r="AL47" s="54">
        <f t="shared" si="16"/>
        <v>0.3636363636363637</v>
      </c>
      <c r="AM47" s="45">
        <f t="shared" si="16"/>
        <v>2.862101534828807</v>
      </c>
      <c r="AN47" s="43"/>
      <c r="AP47" s="2" t="s">
        <v>206</v>
      </c>
      <c r="AQ47">
        <f>_xlfn.CHISQ.DIST.RT(AQ45,AQ44)</f>
        <v>0.99999727700619279</v>
      </c>
    </row>
    <row r="48" spans="1:44" ht="15.6" x14ac:dyDescent="0.3">
      <c r="A48">
        <v>3</v>
      </c>
      <c r="B48">
        <v>2</v>
      </c>
      <c r="C48">
        <v>2</v>
      </c>
      <c r="D48">
        <v>2</v>
      </c>
      <c r="E48">
        <v>2</v>
      </c>
      <c r="F48">
        <v>2</v>
      </c>
      <c r="G48">
        <v>3</v>
      </c>
      <c r="H48">
        <v>5</v>
      </c>
      <c r="I48">
        <v>5</v>
      </c>
      <c r="J48">
        <v>3</v>
      </c>
      <c r="K48">
        <v>2</v>
      </c>
      <c r="L48">
        <v>2</v>
      </c>
      <c r="O48" s="42"/>
      <c r="U48" s="51"/>
      <c r="V48" s="43"/>
      <c r="X48" s="42"/>
      <c r="AD48" s="43"/>
      <c r="AE48" s="43"/>
      <c r="AG48" s="42"/>
      <c r="AM48" s="45"/>
      <c r="AN48" s="43"/>
      <c r="AP48" t="s">
        <v>210</v>
      </c>
    </row>
    <row r="49" spans="1:44" ht="15.6" x14ac:dyDescent="0.3">
      <c r="A49">
        <v>2</v>
      </c>
      <c r="B49">
        <v>2</v>
      </c>
      <c r="C49">
        <v>1</v>
      </c>
      <c r="D49">
        <v>2</v>
      </c>
      <c r="E49">
        <v>1</v>
      </c>
      <c r="F49">
        <v>2</v>
      </c>
      <c r="G49">
        <v>3</v>
      </c>
      <c r="H49">
        <v>5</v>
      </c>
      <c r="I49">
        <v>4</v>
      </c>
      <c r="J49">
        <v>4</v>
      </c>
      <c r="K49">
        <v>3</v>
      </c>
      <c r="L49">
        <v>4</v>
      </c>
      <c r="O49" s="42"/>
      <c r="U49" s="51"/>
      <c r="V49" s="43"/>
      <c r="X49" s="42"/>
      <c r="AD49" s="43"/>
      <c r="AE49" s="43"/>
      <c r="AG49" s="42"/>
      <c r="AM49" s="45"/>
      <c r="AN49" s="43"/>
      <c r="AP49" s="2" t="s">
        <v>299</v>
      </c>
      <c r="AQ49" s="50">
        <f>SQRT(AQ45/($AQ$9*$AQ$10))</f>
        <v>0.14506848116211324</v>
      </c>
      <c r="AR49" t="s">
        <v>337</v>
      </c>
    </row>
    <row r="50" spans="1:44" ht="15.6" x14ac:dyDescent="0.3">
      <c r="A50">
        <v>5</v>
      </c>
      <c r="B50">
        <v>2</v>
      </c>
      <c r="C50">
        <v>2</v>
      </c>
      <c r="D50">
        <v>5</v>
      </c>
      <c r="E50">
        <v>2</v>
      </c>
      <c r="F50">
        <v>3</v>
      </c>
      <c r="G50">
        <v>3</v>
      </c>
      <c r="H50">
        <v>3</v>
      </c>
      <c r="I50">
        <v>3</v>
      </c>
      <c r="J50">
        <v>2</v>
      </c>
      <c r="K50">
        <v>3</v>
      </c>
      <c r="L50">
        <v>3</v>
      </c>
      <c r="O50" s="42"/>
      <c r="U50" s="51"/>
      <c r="V50" s="43"/>
      <c r="X50" s="42"/>
      <c r="AD50" s="43"/>
      <c r="AE50" s="43"/>
      <c r="AG50" s="42"/>
      <c r="AM50" s="45"/>
      <c r="AN50" s="43"/>
    </row>
    <row r="51" spans="1:44" ht="18" x14ac:dyDescent="0.35">
      <c r="A51">
        <v>5</v>
      </c>
      <c r="B51">
        <v>2</v>
      </c>
      <c r="C51">
        <v>1</v>
      </c>
      <c r="D51">
        <v>4</v>
      </c>
      <c r="E51">
        <v>1</v>
      </c>
      <c r="F51">
        <v>2</v>
      </c>
      <c r="G51">
        <v>4</v>
      </c>
      <c r="H51">
        <v>3</v>
      </c>
      <c r="I51">
        <v>3</v>
      </c>
      <c r="J51">
        <v>3</v>
      </c>
      <c r="K51">
        <v>3</v>
      </c>
      <c r="L51">
        <v>2</v>
      </c>
      <c r="P51" s="43"/>
      <c r="Q51" s="43"/>
      <c r="R51" s="43"/>
      <c r="S51" s="43"/>
      <c r="T51" s="43"/>
      <c r="U51" s="45"/>
      <c r="V51" s="46"/>
      <c r="Y51" s="43"/>
      <c r="Z51" s="43"/>
      <c r="AA51" s="43"/>
      <c r="AB51" s="43"/>
      <c r="AC51" s="43"/>
      <c r="AD51" s="48"/>
      <c r="AE51" s="43"/>
      <c r="AH51" s="48"/>
      <c r="AI51" s="48"/>
      <c r="AJ51" s="48"/>
      <c r="AK51" s="48"/>
      <c r="AL51" s="48"/>
      <c r="AM51" s="46"/>
      <c r="AN51" s="43"/>
    </row>
    <row r="52" spans="1:44" x14ac:dyDescent="0.3">
      <c r="A52">
        <v>3</v>
      </c>
      <c r="B52">
        <v>2</v>
      </c>
      <c r="C52">
        <v>1</v>
      </c>
      <c r="D52">
        <v>2</v>
      </c>
      <c r="E52">
        <v>2</v>
      </c>
      <c r="F52">
        <v>2</v>
      </c>
      <c r="G52">
        <v>3</v>
      </c>
      <c r="H52">
        <v>4</v>
      </c>
      <c r="I52">
        <v>5</v>
      </c>
      <c r="J52">
        <v>2</v>
      </c>
      <c r="K52">
        <v>5</v>
      </c>
      <c r="L52">
        <v>4</v>
      </c>
    </row>
    <row r="53" spans="1:44" x14ac:dyDescent="0.3">
      <c r="A53">
        <v>3</v>
      </c>
      <c r="B53">
        <v>2</v>
      </c>
      <c r="C53">
        <v>2</v>
      </c>
      <c r="D53">
        <v>2</v>
      </c>
      <c r="E53">
        <v>2</v>
      </c>
      <c r="F53">
        <v>2</v>
      </c>
      <c r="G53">
        <v>3</v>
      </c>
      <c r="H53">
        <v>3</v>
      </c>
      <c r="I53">
        <v>5</v>
      </c>
      <c r="J53">
        <v>3</v>
      </c>
      <c r="K53">
        <v>3</v>
      </c>
      <c r="L53">
        <v>3</v>
      </c>
    </row>
    <row r="54" spans="1:44" x14ac:dyDescent="0.3">
      <c r="A54">
        <v>5</v>
      </c>
      <c r="B54">
        <v>2</v>
      </c>
      <c r="C54">
        <v>1</v>
      </c>
      <c r="D54">
        <v>4</v>
      </c>
      <c r="E54">
        <v>1</v>
      </c>
      <c r="F54">
        <v>2</v>
      </c>
      <c r="G54">
        <v>4</v>
      </c>
      <c r="H54">
        <v>5</v>
      </c>
      <c r="I54">
        <v>4</v>
      </c>
      <c r="J54">
        <v>4</v>
      </c>
      <c r="K54">
        <v>4</v>
      </c>
      <c r="L54">
        <v>4</v>
      </c>
    </row>
    <row r="55" spans="1:44" x14ac:dyDescent="0.3">
      <c r="A55">
        <v>3</v>
      </c>
      <c r="B55">
        <v>2</v>
      </c>
      <c r="C55">
        <v>1</v>
      </c>
      <c r="D55">
        <v>2</v>
      </c>
      <c r="E55">
        <v>1</v>
      </c>
      <c r="F55">
        <v>2</v>
      </c>
      <c r="G55">
        <v>3</v>
      </c>
      <c r="H55">
        <v>5</v>
      </c>
      <c r="I55">
        <v>4</v>
      </c>
      <c r="J55">
        <v>3</v>
      </c>
      <c r="K55">
        <v>3</v>
      </c>
      <c r="L55">
        <v>4</v>
      </c>
    </row>
    <row r="56" spans="1:44" x14ac:dyDescent="0.3">
      <c r="A56">
        <v>5</v>
      </c>
      <c r="B56">
        <v>2</v>
      </c>
      <c r="C56">
        <v>2</v>
      </c>
      <c r="D56">
        <v>5</v>
      </c>
      <c r="E56">
        <v>4</v>
      </c>
      <c r="F56">
        <v>2</v>
      </c>
      <c r="G56">
        <v>3</v>
      </c>
      <c r="H56">
        <v>4</v>
      </c>
      <c r="I56">
        <v>4</v>
      </c>
      <c r="J56">
        <v>2</v>
      </c>
      <c r="K56">
        <v>3</v>
      </c>
      <c r="L56">
        <v>3</v>
      </c>
    </row>
    <row r="57" spans="1:44" x14ac:dyDescent="0.3">
      <c r="A57">
        <v>3</v>
      </c>
      <c r="B57">
        <v>2</v>
      </c>
      <c r="C57">
        <v>2</v>
      </c>
      <c r="D57">
        <v>1</v>
      </c>
      <c r="E57">
        <v>2</v>
      </c>
      <c r="F57">
        <v>3</v>
      </c>
      <c r="G57">
        <v>2</v>
      </c>
      <c r="H57">
        <v>3</v>
      </c>
      <c r="I57">
        <v>4</v>
      </c>
      <c r="J57">
        <v>2</v>
      </c>
      <c r="K57">
        <v>3</v>
      </c>
      <c r="L57">
        <v>3</v>
      </c>
      <c r="P57" s="106" t="s">
        <v>346</v>
      </c>
      <c r="Q57" s="106"/>
      <c r="R57" s="106"/>
      <c r="S57" s="106"/>
      <c r="T57" s="106"/>
      <c r="U57" s="106"/>
      <c r="X57" s="106" t="s">
        <v>364</v>
      </c>
      <c r="Y57" s="106"/>
      <c r="Z57" s="106"/>
      <c r="AA57" s="106"/>
      <c r="AB57" s="106"/>
      <c r="AC57" s="106"/>
      <c r="AD57" s="47"/>
      <c r="AG57" s="106" t="s">
        <v>370</v>
      </c>
      <c r="AH57" s="106"/>
      <c r="AI57" s="106"/>
      <c r="AJ57" s="106"/>
      <c r="AK57" s="106"/>
      <c r="AL57" s="106"/>
      <c r="AM57" s="55"/>
      <c r="AP57" s="2" t="s">
        <v>204</v>
      </c>
      <c r="AQ57">
        <v>0.05</v>
      </c>
    </row>
    <row r="58" spans="1:44" ht="15.6" x14ac:dyDescent="0.3">
      <c r="A58">
        <v>2</v>
      </c>
      <c r="B58">
        <v>2</v>
      </c>
      <c r="C58">
        <v>2</v>
      </c>
      <c r="D58">
        <v>1</v>
      </c>
      <c r="E58">
        <v>2</v>
      </c>
      <c r="F58">
        <v>2</v>
      </c>
      <c r="G58">
        <v>4</v>
      </c>
      <c r="H58">
        <v>4</v>
      </c>
      <c r="I58">
        <v>5</v>
      </c>
      <c r="J58">
        <v>3</v>
      </c>
      <c r="K58">
        <v>5</v>
      </c>
      <c r="L58">
        <v>4</v>
      </c>
      <c r="O58" s="11" t="s">
        <v>4</v>
      </c>
      <c r="P58" s="10">
        <v>1</v>
      </c>
      <c r="Q58" s="10">
        <v>2</v>
      </c>
      <c r="R58" s="10">
        <v>3</v>
      </c>
      <c r="S58" s="10">
        <v>4</v>
      </c>
      <c r="T58" s="10">
        <v>5</v>
      </c>
      <c r="U58" s="10"/>
      <c r="V58" s="44"/>
      <c r="X58" s="11" t="s">
        <v>4</v>
      </c>
      <c r="Y58" s="10">
        <v>1</v>
      </c>
      <c r="Z58" s="10">
        <v>2</v>
      </c>
      <c r="AA58" s="10">
        <v>3</v>
      </c>
      <c r="AB58" s="10">
        <v>4</v>
      </c>
      <c r="AC58" s="10">
        <v>5</v>
      </c>
      <c r="AD58" s="10"/>
      <c r="AG58" s="11" t="s">
        <v>4</v>
      </c>
      <c r="AH58" s="10">
        <v>1</v>
      </c>
      <c r="AI58" s="10">
        <v>2</v>
      </c>
      <c r="AJ58" s="10">
        <v>3</v>
      </c>
      <c r="AK58" s="10">
        <v>4</v>
      </c>
      <c r="AL58" s="10">
        <v>5</v>
      </c>
      <c r="AM58" s="10"/>
      <c r="AP58" s="2" t="s">
        <v>205</v>
      </c>
      <c r="AQ58">
        <f>4*1</f>
        <v>4</v>
      </c>
    </row>
    <row r="59" spans="1:44" ht="15.6" x14ac:dyDescent="0.3">
      <c r="A59">
        <v>2</v>
      </c>
      <c r="B59">
        <v>2</v>
      </c>
      <c r="C59">
        <v>1</v>
      </c>
      <c r="D59">
        <v>2</v>
      </c>
      <c r="E59">
        <v>1</v>
      </c>
      <c r="F59">
        <v>2</v>
      </c>
      <c r="G59">
        <v>3</v>
      </c>
      <c r="H59">
        <v>4</v>
      </c>
      <c r="I59">
        <v>5</v>
      </c>
      <c r="J59">
        <v>3</v>
      </c>
      <c r="K59">
        <v>5</v>
      </c>
      <c r="L59">
        <v>2</v>
      </c>
      <c r="O59" s="42">
        <v>1</v>
      </c>
      <c r="P59">
        <f>COUNTIFS($B$2:$B$137,"1",$K$2:$K$137,"1")</f>
        <v>0</v>
      </c>
      <c r="Q59">
        <f>COUNTIFS($B$2:$B$137,"1",$K$2:$K$137,"2")</f>
        <v>1</v>
      </c>
      <c r="R59">
        <f>COUNTIFS($B$2:$B$137,"1",$K$2:$K$137,"3")</f>
        <v>2</v>
      </c>
      <c r="S59">
        <f>COUNTIFS($B$2:$B$137,"1",$K$2:$K$137,"4")</f>
        <v>1</v>
      </c>
      <c r="T59">
        <f>COUNTIFS($B$2:$B$137,"1",$K$2:$K$137,"5")</f>
        <v>0</v>
      </c>
      <c r="U59" s="53">
        <f>SUM(P59:T59)</f>
        <v>4</v>
      </c>
      <c r="V59" s="43"/>
      <c r="X59" s="42">
        <v>1</v>
      </c>
      <c r="Y59">
        <f>$U59*P$61/$U$61</f>
        <v>0</v>
      </c>
      <c r="Z59">
        <f t="shared" ref="Z59:AC60" si="17">$U59*Q$61/$U$61</f>
        <v>0.5</v>
      </c>
      <c r="AA59">
        <f t="shared" si="17"/>
        <v>0.82352941176470584</v>
      </c>
      <c r="AB59">
        <f t="shared" si="17"/>
        <v>1.8529411764705883</v>
      </c>
      <c r="AC59">
        <f t="shared" si="17"/>
        <v>0.82352941176470584</v>
      </c>
      <c r="AD59" s="43">
        <f>SUM(Y59:AC59)</f>
        <v>4</v>
      </c>
      <c r="AE59" s="52"/>
      <c r="AG59" s="42">
        <v>1</v>
      </c>
      <c r="AH59" s="49">
        <v>0</v>
      </c>
      <c r="AI59">
        <f>((P59-Z59)^2)/Z59</f>
        <v>0.5</v>
      </c>
      <c r="AJ59">
        <f>((Q59-AA59)^2)/AA59</f>
        <v>3.7815126050420186E-2</v>
      </c>
      <c r="AK59">
        <f>((R59-AB59)^2)/AB59</f>
        <v>1.1671335200746953E-2</v>
      </c>
      <c r="AL59">
        <f>((S59-AC59)^2)/AC59</f>
        <v>3.7815126050420186E-2</v>
      </c>
      <c r="AM59" s="54">
        <f>SUM(AH59:AL59)</f>
        <v>0.58730158730158721</v>
      </c>
      <c r="AP59" s="2" t="s">
        <v>202</v>
      </c>
      <c r="AQ59" s="10">
        <f>SUM(AH59:AL60)</f>
        <v>0.69023569023569009</v>
      </c>
    </row>
    <row r="60" spans="1:44" ht="15.6" x14ac:dyDescent="0.3">
      <c r="A60">
        <v>3</v>
      </c>
      <c r="B60">
        <v>2</v>
      </c>
      <c r="C60">
        <v>2</v>
      </c>
      <c r="D60">
        <v>2</v>
      </c>
      <c r="E60">
        <v>2</v>
      </c>
      <c r="F60">
        <v>2</v>
      </c>
      <c r="G60">
        <v>3</v>
      </c>
      <c r="H60">
        <v>4</v>
      </c>
      <c r="I60">
        <v>4</v>
      </c>
      <c r="J60">
        <v>3</v>
      </c>
      <c r="K60">
        <v>3</v>
      </c>
      <c r="L60">
        <v>3</v>
      </c>
      <c r="O60" s="42">
        <v>2</v>
      </c>
      <c r="P60">
        <f>COUNTIFS($B$2:$B$137,"2",$K$2:$K$137,"1")</f>
        <v>0</v>
      </c>
      <c r="Q60">
        <f>COUNTIFS($B$2:$B$137,"2",$K$2:$K$137,"2")</f>
        <v>16</v>
      </c>
      <c r="R60">
        <f>COUNTIFS($B$2:$B$137,"2",$K$2:$K$137,"3")</f>
        <v>26</v>
      </c>
      <c r="S60">
        <f>COUNTIFS($B$2:$B$137,"2",$K$2:$K$137,"4")</f>
        <v>62</v>
      </c>
      <c r="T60">
        <f>COUNTIFS($B$2:$B$137,"2",$K$2:$K$137,"5")</f>
        <v>28</v>
      </c>
      <c r="U60" s="53">
        <f>SUM(P60:T60)</f>
        <v>132</v>
      </c>
      <c r="V60" s="43"/>
      <c r="X60" s="42">
        <v>2</v>
      </c>
      <c r="Y60">
        <f>$U60*P$61/$U$61</f>
        <v>0</v>
      </c>
      <c r="Z60">
        <f t="shared" si="17"/>
        <v>16.5</v>
      </c>
      <c r="AA60">
        <f t="shared" si="17"/>
        <v>27.176470588235293</v>
      </c>
      <c r="AB60">
        <f t="shared" si="17"/>
        <v>61.147058823529413</v>
      </c>
      <c r="AC60">
        <f t="shared" si="17"/>
        <v>27.176470588235293</v>
      </c>
      <c r="AD60" s="43">
        <f>SUM(Y60:AC60)</f>
        <v>132</v>
      </c>
      <c r="AE60" s="43"/>
      <c r="AG60" s="42">
        <v>2</v>
      </c>
      <c r="AH60" s="49">
        <v>0</v>
      </c>
      <c r="AI60">
        <f>(Q60-Z60)^2/Z60</f>
        <v>1.5151515151515152E-2</v>
      </c>
      <c r="AJ60">
        <f>(R60-AA60)^2/AA60</f>
        <v>5.0929462694168523E-2</v>
      </c>
      <c r="AK60">
        <f>(S60-AB60)^2/AB60</f>
        <v>1.1897688368276569E-2</v>
      </c>
      <c r="AL60">
        <f>(T60-AC60)^2/AC60</f>
        <v>2.4955436720142641E-2</v>
      </c>
      <c r="AM60" s="54">
        <f>SUM(AH60:AL60)</f>
        <v>0.10293410293410288</v>
      </c>
      <c r="AN60" s="44"/>
      <c r="AP60" s="2" t="s">
        <v>203</v>
      </c>
      <c r="AQ60" s="50">
        <v>9.49</v>
      </c>
    </row>
    <row r="61" spans="1:44" ht="15.6" x14ac:dyDescent="0.3">
      <c r="A61">
        <v>4</v>
      </c>
      <c r="B61">
        <v>2</v>
      </c>
      <c r="C61">
        <v>1</v>
      </c>
      <c r="D61">
        <v>4</v>
      </c>
      <c r="E61">
        <v>1</v>
      </c>
      <c r="F61">
        <v>2</v>
      </c>
      <c r="G61">
        <v>4</v>
      </c>
      <c r="H61">
        <v>4</v>
      </c>
      <c r="I61">
        <v>5</v>
      </c>
      <c r="J61">
        <v>2</v>
      </c>
      <c r="K61">
        <v>4</v>
      </c>
      <c r="L61">
        <v>4</v>
      </c>
      <c r="O61" s="42"/>
      <c r="P61" s="51">
        <f t="shared" ref="P61:U61" si="18">SUM(P59:P60)</f>
        <v>0</v>
      </c>
      <c r="Q61" s="51">
        <f t="shared" si="18"/>
        <v>17</v>
      </c>
      <c r="R61" s="51">
        <f t="shared" si="18"/>
        <v>28</v>
      </c>
      <c r="S61" s="51">
        <f t="shared" si="18"/>
        <v>63</v>
      </c>
      <c r="T61" s="51">
        <f t="shared" si="18"/>
        <v>28</v>
      </c>
      <c r="U61" s="48">
        <f t="shared" si="18"/>
        <v>136</v>
      </c>
      <c r="V61" s="43"/>
      <c r="Y61" s="45">
        <f t="shared" ref="Y61:AD61" si="19">SUM(Y59:Y60)</f>
        <v>0</v>
      </c>
      <c r="Z61" s="45">
        <f t="shared" si="19"/>
        <v>17</v>
      </c>
      <c r="AA61" s="45">
        <f t="shared" si="19"/>
        <v>28</v>
      </c>
      <c r="AB61" s="45">
        <f t="shared" si="19"/>
        <v>63</v>
      </c>
      <c r="AC61" s="45">
        <f t="shared" si="19"/>
        <v>28</v>
      </c>
      <c r="AD61" s="45">
        <f t="shared" si="19"/>
        <v>136</v>
      </c>
      <c r="AE61" s="43"/>
      <c r="AH61" s="54">
        <f t="shared" ref="AH61:AM61" si="20">SUM(AH59:AH60)</f>
        <v>0</v>
      </c>
      <c r="AI61" s="54">
        <f t="shared" si="20"/>
        <v>0.51515151515151514</v>
      </c>
      <c r="AJ61" s="54">
        <f t="shared" si="20"/>
        <v>8.8744588744588709E-2</v>
      </c>
      <c r="AK61" s="54">
        <f t="shared" si="20"/>
        <v>2.3569023569023524E-2</v>
      </c>
      <c r="AL61" s="54">
        <f t="shared" si="20"/>
        <v>6.2770562770562824E-2</v>
      </c>
      <c r="AM61" s="48">
        <f t="shared" si="20"/>
        <v>0.69023569023569009</v>
      </c>
      <c r="AN61" s="43"/>
      <c r="AP61" s="2" t="s">
        <v>206</v>
      </c>
      <c r="AQ61">
        <f>_xlfn.CHISQ.DIST.RT(AQ59,AQ58)</f>
        <v>0.95252757838612034</v>
      </c>
    </row>
    <row r="62" spans="1:44" ht="15.6" x14ac:dyDescent="0.3">
      <c r="A62">
        <v>5</v>
      </c>
      <c r="B62">
        <v>2</v>
      </c>
      <c r="C62">
        <v>1</v>
      </c>
      <c r="D62">
        <v>5</v>
      </c>
      <c r="E62">
        <v>1</v>
      </c>
      <c r="F62">
        <v>2</v>
      </c>
      <c r="G62">
        <v>5</v>
      </c>
      <c r="H62">
        <v>5</v>
      </c>
      <c r="I62">
        <v>4</v>
      </c>
      <c r="J62">
        <v>3</v>
      </c>
      <c r="K62">
        <v>4</v>
      </c>
      <c r="L62">
        <v>1</v>
      </c>
      <c r="O62" s="42"/>
      <c r="U62" s="53"/>
      <c r="V62" s="43"/>
      <c r="X62" s="42"/>
      <c r="AD62" s="43"/>
      <c r="AE62" s="43"/>
      <c r="AG62" s="42"/>
      <c r="AH62" s="49"/>
      <c r="AM62" s="45"/>
      <c r="AN62" s="43"/>
      <c r="AP62" t="s">
        <v>221</v>
      </c>
    </row>
    <row r="63" spans="1:44" ht="15.6" x14ac:dyDescent="0.3">
      <c r="A63">
        <v>2</v>
      </c>
      <c r="B63">
        <v>2</v>
      </c>
      <c r="C63">
        <v>1</v>
      </c>
      <c r="D63">
        <v>2</v>
      </c>
      <c r="E63">
        <v>1</v>
      </c>
      <c r="F63">
        <v>3</v>
      </c>
      <c r="G63">
        <v>2</v>
      </c>
      <c r="H63">
        <v>5</v>
      </c>
      <c r="I63">
        <v>3</v>
      </c>
      <c r="J63">
        <v>3</v>
      </c>
      <c r="K63">
        <v>4</v>
      </c>
      <c r="L63">
        <v>2</v>
      </c>
      <c r="O63" s="42"/>
      <c r="U63" s="53"/>
      <c r="V63" s="43"/>
      <c r="X63" s="42"/>
      <c r="AD63" s="43"/>
      <c r="AE63" s="43"/>
      <c r="AG63" s="42"/>
      <c r="AH63" s="49"/>
      <c r="AM63" s="45"/>
      <c r="AN63" s="43"/>
      <c r="AP63" s="2" t="s">
        <v>299</v>
      </c>
      <c r="AQ63" s="50">
        <f>SQRT(AQ59/($AQ$9*$AQ$10))</f>
        <v>7.1240876104969417E-2</v>
      </c>
      <c r="AR63" t="s">
        <v>337</v>
      </c>
    </row>
    <row r="64" spans="1:44" ht="15.6" x14ac:dyDescent="0.3">
      <c r="A64">
        <v>5</v>
      </c>
      <c r="B64">
        <v>2</v>
      </c>
      <c r="C64">
        <v>3</v>
      </c>
      <c r="D64">
        <v>4</v>
      </c>
      <c r="E64">
        <v>3</v>
      </c>
      <c r="F64">
        <v>2</v>
      </c>
      <c r="G64">
        <v>4</v>
      </c>
      <c r="H64">
        <v>4</v>
      </c>
      <c r="I64">
        <v>5</v>
      </c>
      <c r="J64">
        <v>4</v>
      </c>
      <c r="K64">
        <v>4</v>
      </c>
      <c r="L64">
        <v>5</v>
      </c>
      <c r="O64" s="42"/>
      <c r="U64" s="53"/>
      <c r="V64" s="43"/>
      <c r="X64" s="42"/>
      <c r="AD64" s="43"/>
      <c r="AE64" s="43"/>
      <c r="AG64" s="42"/>
      <c r="AH64" s="49"/>
      <c r="AM64" s="45"/>
      <c r="AN64" s="43"/>
    </row>
    <row r="65" spans="1:44" ht="18" x14ac:dyDescent="0.35">
      <c r="A65">
        <v>2</v>
      </c>
      <c r="B65">
        <v>2</v>
      </c>
      <c r="C65">
        <v>2</v>
      </c>
      <c r="D65">
        <v>1</v>
      </c>
      <c r="E65">
        <v>2</v>
      </c>
      <c r="F65">
        <v>2</v>
      </c>
      <c r="G65">
        <v>4</v>
      </c>
      <c r="H65">
        <v>5</v>
      </c>
      <c r="I65">
        <v>5</v>
      </c>
      <c r="J65">
        <v>3</v>
      </c>
      <c r="K65">
        <v>5</v>
      </c>
      <c r="L65">
        <v>4</v>
      </c>
      <c r="P65" s="43"/>
      <c r="Q65" s="43"/>
      <c r="R65" s="43"/>
      <c r="S65" s="43"/>
      <c r="T65" s="43"/>
      <c r="U65" s="48"/>
      <c r="V65" s="46"/>
      <c r="X65" s="42"/>
      <c r="AD65" s="43"/>
      <c r="AE65" s="43"/>
      <c r="AG65" s="42"/>
      <c r="AH65" s="49"/>
      <c r="AM65" s="45"/>
      <c r="AN65" s="43"/>
    </row>
    <row r="66" spans="1:44" ht="18" x14ac:dyDescent="0.35">
      <c r="A66">
        <v>2</v>
      </c>
      <c r="B66">
        <v>2</v>
      </c>
      <c r="C66">
        <v>2</v>
      </c>
      <c r="D66">
        <v>1</v>
      </c>
      <c r="E66">
        <v>2</v>
      </c>
      <c r="F66">
        <v>2</v>
      </c>
      <c r="G66">
        <v>4</v>
      </c>
      <c r="H66">
        <v>5</v>
      </c>
      <c r="I66">
        <v>5</v>
      </c>
      <c r="J66">
        <v>3</v>
      </c>
      <c r="K66">
        <v>5</v>
      </c>
      <c r="L66">
        <v>3</v>
      </c>
      <c r="Y66" s="43"/>
      <c r="Z66" s="43"/>
      <c r="AA66" s="43"/>
      <c r="AB66" s="43"/>
      <c r="AC66" s="43"/>
      <c r="AD66" s="48"/>
      <c r="AE66" s="43"/>
      <c r="AH66" s="48"/>
      <c r="AI66" s="48"/>
      <c r="AJ66" s="48"/>
      <c r="AK66" s="48"/>
      <c r="AL66" s="48"/>
      <c r="AM66" s="46"/>
      <c r="AN66" s="43"/>
    </row>
    <row r="67" spans="1:44" x14ac:dyDescent="0.3">
      <c r="A67">
        <v>3</v>
      </c>
      <c r="B67">
        <v>2</v>
      </c>
      <c r="C67">
        <v>2</v>
      </c>
      <c r="D67">
        <v>2</v>
      </c>
      <c r="E67">
        <v>2</v>
      </c>
      <c r="F67">
        <v>2</v>
      </c>
      <c r="G67">
        <v>4</v>
      </c>
      <c r="H67">
        <v>5</v>
      </c>
      <c r="I67">
        <v>3</v>
      </c>
      <c r="J67">
        <v>2</v>
      </c>
      <c r="K67">
        <v>4</v>
      </c>
      <c r="L67">
        <v>3</v>
      </c>
    </row>
    <row r="68" spans="1:44" x14ac:dyDescent="0.3">
      <c r="A68">
        <v>4</v>
      </c>
      <c r="B68">
        <v>2</v>
      </c>
      <c r="C68">
        <v>2</v>
      </c>
      <c r="D68">
        <v>4</v>
      </c>
      <c r="E68">
        <v>2</v>
      </c>
      <c r="F68">
        <v>2</v>
      </c>
      <c r="G68">
        <v>4</v>
      </c>
      <c r="H68">
        <v>5</v>
      </c>
      <c r="I68">
        <v>4</v>
      </c>
      <c r="J68">
        <v>3</v>
      </c>
      <c r="K68">
        <v>4</v>
      </c>
      <c r="L68">
        <v>5</v>
      </c>
    </row>
    <row r="69" spans="1:44" x14ac:dyDescent="0.3">
      <c r="A69">
        <v>4</v>
      </c>
      <c r="B69">
        <v>2</v>
      </c>
      <c r="C69">
        <v>2</v>
      </c>
      <c r="D69">
        <v>1</v>
      </c>
      <c r="E69">
        <v>3</v>
      </c>
      <c r="F69">
        <v>2</v>
      </c>
      <c r="G69">
        <v>4</v>
      </c>
      <c r="H69">
        <v>4</v>
      </c>
      <c r="I69">
        <v>3</v>
      </c>
      <c r="J69">
        <v>4</v>
      </c>
      <c r="K69">
        <v>3</v>
      </c>
      <c r="L69">
        <v>2</v>
      </c>
    </row>
    <row r="70" spans="1:44" x14ac:dyDescent="0.3">
      <c r="A70">
        <v>2</v>
      </c>
      <c r="B70">
        <v>2</v>
      </c>
      <c r="C70">
        <v>2</v>
      </c>
      <c r="D70">
        <v>1</v>
      </c>
      <c r="E70">
        <v>2</v>
      </c>
      <c r="F70">
        <v>3</v>
      </c>
      <c r="G70">
        <v>5</v>
      </c>
      <c r="H70">
        <v>5</v>
      </c>
      <c r="I70">
        <v>4</v>
      </c>
      <c r="J70">
        <v>3</v>
      </c>
      <c r="K70">
        <v>5</v>
      </c>
      <c r="L70">
        <v>4</v>
      </c>
    </row>
    <row r="71" spans="1:44" x14ac:dyDescent="0.3">
      <c r="A71">
        <v>5</v>
      </c>
      <c r="B71">
        <v>2</v>
      </c>
      <c r="C71">
        <v>1</v>
      </c>
      <c r="D71">
        <v>5</v>
      </c>
      <c r="E71">
        <v>1</v>
      </c>
      <c r="F71">
        <v>2</v>
      </c>
      <c r="G71">
        <v>4</v>
      </c>
      <c r="H71">
        <v>5</v>
      </c>
      <c r="I71">
        <v>5</v>
      </c>
      <c r="J71">
        <v>4</v>
      </c>
      <c r="K71">
        <v>4</v>
      </c>
      <c r="L71">
        <v>4</v>
      </c>
      <c r="P71" s="106" t="s">
        <v>360</v>
      </c>
      <c r="Q71" s="106"/>
      <c r="R71" s="106"/>
      <c r="S71" s="106"/>
      <c r="T71" s="106"/>
      <c r="U71" s="106"/>
      <c r="Y71" s="106" t="s">
        <v>365</v>
      </c>
      <c r="Z71" s="106"/>
      <c r="AA71" s="106"/>
      <c r="AB71" s="106"/>
      <c r="AC71" s="106"/>
      <c r="AD71" s="47"/>
      <c r="AG71" s="106" t="s">
        <v>371</v>
      </c>
      <c r="AH71" s="106"/>
      <c r="AI71" s="106"/>
      <c r="AJ71" s="106"/>
      <c r="AK71" s="106"/>
      <c r="AL71" s="106"/>
      <c r="AM71" s="55"/>
      <c r="AP71" s="2" t="s">
        <v>204</v>
      </c>
      <c r="AQ71">
        <v>0.05</v>
      </c>
    </row>
    <row r="72" spans="1:44" ht="15.6" x14ac:dyDescent="0.3">
      <c r="A72">
        <v>3</v>
      </c>
      <c r="B72">
        <v>2</v>
      </c>
      <c r="C72">
        <v>2</v>
      </c>
      <c r="D72">
        <v>2</v>
      </c>
      <c r="E72">
        <v>2</v>
      </c>
      <c r="F72">
        <v>2</v>
      </c>
      <c r="G72">
        <v>4</v>
      </c>
      <c r="H72">
        <v>4</v>
      </c>
      <c r="I72">
        <v>4</v>
      </c>
      <c r="J72">
        <v>3</v>
      </c>
      <c r="K72">
        <v>4</v>
      </c>
      <c r="L72">
        <v>3</v>
      </c>
      <c r="O72" s="11" t="s">
        <v>4</v>
      </c>
      <c r="P72" s="10">
        <v>1</v>
      </c>
      <c r="Q72" s="10">
        <v>2</v>
      </c>
      <c r="R72" s="10">
        <v>3</v>
      </c>
      <c r="S72" s="10">
        <v>4</v>
      </c>
      <c r="T72" s="10">
        <v>5</v>
      </c>
      <c r="U72" s="10"/>
      <c r="V72" s="44"/>
      <c r="X72" s="11" t="s">
        <v>4</v>
      </c>
      <c r="Y72" s="10">
        <v>1</v>
      </c>
      <c r="Z72" s="10">
        <v>2</v>
      </c>
      <c r="AA72" s="10">
        <v>3</v>
      </c>
      <c r="AB72" s="10">
        <v>4</v>
      </c>
      <c r="AC72" s="10">
        <v>5</v>
      </c>
      <c r="AD72" s="10"/>
      <c r="AG72" s="11" t="s">
        <v>4</v>
      </c>
      <c r="AH72" s="10">
        <v>1</v>
      </c>
      <c r="AI72" s="10">
        <v>2</v>
      </c>
      <c r="AJ72" s="10">
        <v>3</v>
      </c>
      <c r="AK72" s="10">
        <v>4</v>
      </c>
      <c r="AL72" s="10">
        <v>5</v>
      </c>
      <c r="AM72" s="10"/>
      <c r="AP72" s="2" t="s">
        <v>205</v>
      </c>
      <c r="AQ72">
        <f>4*1</f>
        <v>4</v>
      </c>
    </row>
    <row r="73" spans="1:44" ht="15.6" x14ac:dyDescent="0.3">
      <c r="A73">
        <v>5</v>
      </c>
      <c r="B73">
        <v>1</v>
      </c>
      <c r="C73">
        <v>2</v>
      </c>
      <c r="D73">
        <v>3</v>
      </c>
      <c r="E73">
        <v>2</v>
      </c>
      <c r="F73">
        <v>2</v>
      </c>
      <c r="G73">
        <v>4</v>
      </c>
      <c r="H73">
        <v>4</v>
      </c>
      <c r="I73">
        <v>4</v>
      </c>
      <c r="J73">
        <v>3</v>
      </c>
      <c r="K73">
        <v>2</v>
      </c>
      <c r="L73">
        <v>4</v>
      </c>
      <c r="O73" s="42">
        <v>1</v>
      </c>
      <c r="P73">
        <f>COUNTIFS($B$2:$B$137,"1",$L$2:$L$137,"1")</f>
        <v>0</v>
      </c>
      <c r="Q73">
        <f>COUNTIFS($B$2:$B$137,"1",$L$2:$L$137,"2")</f>
        <v>0</v>
      </c>
      <c r="R73">
        <f>COUNTIFS($B$2:$B$137,"1",$L$2:$L$137,"3")</f>
        <v>3</v>
      </c>
      <c r="S73">
        <f>COUNTIFS($B$2:$B$137,"1",$L$2:$L$137,"4")</f>
        <v>1</v>
      </c>
      <c r="T73">
        <f>COUNTIFS($B$2:$B$137,"1",$L$2:$L$137,"5")</f>
        <v>0</v>
      </c>
      <c r="U73" s="43">
        <f>SUM(P73:T73)</f>
        <v>4</v>
      </c>
      <c r="V73" s="43"/>
      <c r="X73" s="42">
        <v>1</v>
      </c>
      <c r="Y73">
        <f>$U73*P$75/$U$75</f>
        <v>0.14705882352941177</v>
      </c>
      <c r="Z73">
        <f t="shared" ref="Z73:AC74" si="21">$U73*Q$75/$U$75</f>
        <v>0.8529411764705882</v>
      </c>
      <c r="AA73">
        <f t="shared" si="21"/>
        <v>1.2647058823529411</v>
      </c>
      <c r="AB73">
        <f t="shared" si="21"/>
        <v>1.1764705882352942</v>
      </c>
      <c r="AC73">
        <f t="shared" si="21"/>
        <v>0.55882352941176472</v>
      </c>
      <c r="AD73" s="43">
        <f>SUM(Y73:AC73)</f>
        <v>4</v>
      </c>
      <c r="AE73" s="52"/>
      <c r="AG73" s="42">
        <v>1</v>
      </c>
      <c r="AH73" s="3">
        <f t="shared" ref="AH73:AL74" si="22">(P73-Y73)^2/Y73</f>
        <v>0.14705882352941177</v>
      </c>
      <c r="AI73" s="3">
        <f t="shared" si="22"/>
        <v>0.8529411764705882</v>
      </c>
      <c r="AJ73" s="3">
        <f t="shared" si="22"/>
        <v>2.3809849521203832</v>
      </c>
      <c r="AK73" s="3">
        <f t="shared" si="22"/>
        <v>2.6470588235294128E-2</v>
      </c>
      <c r="AL73" s="3">
        <f t="shared" si="22"/>
        <v>0.55882352941176472</v>
      </c>
      <c r="AM73" s="54">
        <f>SUM(AH73:AL73)</f>
        <v>3.9662790697674417</v>
      </c>
      <c r="AP73" s="2" t="s">
        <v>202</v>
      </c>
      <c r="AQ73" s="10">
        <f>SUM(AH73:AL74)</f>
        <v>4.0864693446088793</v>
      </c>
    </row>
    <row r="74" spans="1:44" ht="15.6" x14ac:dyDescent="0.3">
      <c r="A74">
        <v>2</v>
      </c>
      <c r="B74">
        <v>2</v>
      </c>
      <c r="C74">
        <v>2</v>
      </c>
      <c r="D74">
        <v>1</v>
      </c>
      <c r="E74">
        <v>2</v>
      </c>
      <c r="F74">
        <v>2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O74" s="42">
        <v>2</v>
      </c>
      <c r="P74">
        <f>COUNTIFS($B$2:$B$137,"2",$L$2:$L$137,"1")</f>
        <v>5</v>
      </c>
      <c r="Q74">
        <f>COUNTIFS($B$2:$B$137,"2",$L$2:$L$137,"2")</f>
        <v>29</v>
      </c>
      <c r="R74">
        <f>COUNTIFS($B$2:$B$137,"2",$L$2:$L$137,"3")</f>
        <v>40</v>
      </c>
      <c r="S74">
        <f>COUNTIFS($B$2:$B$137,"2",$L$2:$L$137,"4")</f>
        <v>39</v>
      </c>
      <c r="T74">
        <f>COUNTIFS($B$2:$B$137,"2",$L$2:$L$137,"5")</f>
        <v>19</v>
      </c>
      <c r="U74" s="43">
        <f>SUM(P74:T74)</f>
        <v>132</v>
      </c>
      <c r="V74" s="43"/>
      <c r="X74" s="42">
        <v>2</v>
      </c>
      <c r="Y74">
        <f>$U74*P$75/$U$75</f>
        <v>4.8529411764705879</v>
      </c>
      <c r="Z74">
        <f t="shared" si="21"/>
        <v>28.147058823529413</v>
      </c>
      <c r="AA74">
        <f t="shared" si="21"/>
        <v>41.735294117647058</v>
      </c>
      <c r="AB74">
        <f t="shared" si="21"/>
        <v>38.823529411764703</v>
      </c>
      <c r="AC74">
        <f t="shared" si="21"/>
        <v>18.441176470588236</v>
      </c>
      <c r="AD74" s="43">
        <f>SUM(Y74:AC74)</f>
        <v>132</v>
      </c>
      <c r="AE74" s="43"/>
      <c r="AG74" s="42">
        <v>2</v>
      </c>
      <c r="AH74">
        <f t="shared" si="22"/>
        <v>4.4563279857397732E-3</v>
      </c>
      <c r="AI74">
        <f t="shared" si="22"/>
        <v>2.5846702317290478E-2</v>
      </c>
      <c r="AJ74">
        <f t="shared" si="22"/>
        <v>7.2151059155163053E-2</v>
      </c>
      <c r="AK74">
        <f t="shared" si="22"/>
        <v>8.0213903743318177E-4</v>
      </c>
      <c r="AL74">
        <f t="shared" si="22"/>
        <v>1.6934046345811041E-2</v>
      </c>
      <c r="AM74" s="54">
        <f>SUM(AH74:AL74)</f>
        <v>0.12019027484143752</v>
      </c>
      <c r="AN74" s="44"/>
      <c r="AP74" s="2" t="s">
        <v>203</v>
      </c>
      <c r="AQ74" s="50">
        <v>9.49</v>
      </c>
    </row>
    <row r="75" spans="1:44" ht="15.6" x14ac:dyDescent="0.3">
      <c r="A75">
        <v>2</v>
      </c>
      <c r="B75">
        <v>2</v>
      </c>
      <c r="C75">
        <v>2</v>
      </c>
      <c r="D75">
        <v>1</v>
      </c>
      <c r="E75">
        <v>2</v>
      </c>
      <c r="F75">
        <v>2</v>
      </c>
      <c r="G75">
        <v>4</v>
      </c>
      <c r="H75">
        <v>4</v>
      </c>
      <c r="I75">
        <v>4</v>
      </c>
      <c r="J75">
        <v>3</v>
      </c>
      <c r="K75">
        <v>4</v>
      </c>
      <c r="L75">
        <v>2</v>
      </c>
      <c r="O75" s="42"/>
      <c r="P75" s="54">
        <f t="shared" ref="P75:U75" si="23">SUM(P73:P74)</f>
        <v>5</v>
      </c>
      <c r="Q75" s="54">
        <f t="shared" si="23"/>
        <v>29</v>
      </c>
      <c r="R75" s="54">
        <f t="shared" si="23"/>
        <v>43</v>
      </c>
      <c r="S75" s="54">
        <f t="shared" si="23"/>
        <v>40</v>
      </c>
      <c r="T75" s="54">
        <f t="shared" si="23"/>
        <v>19</v>
      </c>
      <c r="U75" s="48">
        <f t="shared" si="23"/>
        <v>136</v>
      </c>
      <c r="V75" s="43"/>
      <c r="Y75" s="51">
        <f t="shared" ref="Y75:AD75" si="24">SUM(Y73:Y74)</f>
        <v>5</v>
      </c>
      <c r="Z75" s="51">
        <f t="shared" si="24"/>
        <v>29</v>
      </c>
      <c r="AA75" s="51">
        <f t="shared" si="24"/>
        <v>43</v>
      </c>
      <c r="AB75" s="51">
        <f t="shared" si="24"/>
        <v>40</v>
      </c>
      <c r="AC75" s="51">
        <f t="shared" si="24"/>
        <v>19</v>
      </c>
      <c r="AD75" s="45">
        <f t="shared" si="24"/>
        <v>136</v>
      </c>
      <c r="AE75" s="43"/>
      <c r="AG75" s="42"/>
      <c r="AH75" s="54">
        <f t="shared" ref="AH75:AM75" si="25">SUM(AH73:AH74)</f>
        <v>0.15151515151515155</v>
      </c>
      <c r="AI75" s="54">
        <f t="shared" si="25"/>
        <v>0.87878787878787867</v>
      </c>
      <c r="AJ75" s="54">
        <f t="shared" si="25"/>
        <v>2.453136011275546</v>
      </c>
      <c r="AK75" s="54">
        <f t="shared" si="25"/>
        <v>2.727272727272731E-2</v>
      </c>
      <c r="AL75" s="54">
        <f t="shared" si="25"/>
        <v>0.5757575757575758</v>
      </c>
      <c r="AM75" s="45">
        <f t="shared" si="25"/>
        <v>4.0864693446088793</v>
      </c>
      <c r="AN75" s="43"/>
      <c r="AP75" s="2" t="s">
        <v>206</v>
      </c>
      <c r="AQ75">
        <f>_xlfn.CHISQ.DIST.RT(AQ73,AQ72)</f>
        <v>0.39442996395209523</v>
      </c>
    </row>
    <row r="76" spans="1:44" ht="15.6" x14ac:dyDescent="0.3">
      <c r="A76">
        <v>2</v>
      </c>
      <c r="B76">
        <v>2</v>
      </c>
      <c r="C76">
        <v>2</v>
      </c>
      <c r="D76">
        <v>1</v>
      </c>
      <c r="E76">
        <v>2</v>
      </c>
      <c r="F76">
        <v>2</v>
      </c>
      <c r="G76">
        <v>3</v>
      </c>
      <c r="H76">
        <v>5</v>
      </c>
      <c r="I76">
        <v>4</v>
      </c>
      <c r="J76">
        <v>4</v>
      </c>
      <c r="K76">
        <v>4</v>
      </c>
      <c r="L76">
        <v>3</v>
      </c>
      <c r="O76" s="42"/>
      <c r="U76" s="43"/>
      <c r="V76" s="43"/>
      <c r="X76" s="42"/>
      <c r="AD76" s="43"/>
      <c r="AE76" s="43"/>
      <c r="AG76" s="23"/>
      <c r="AN76" s="43"/>
      <c r="AP76" t="s">
        <v>222</v>
      </c>
    </row>
    <row r="77" spans="1:44" ht="15.6" x14ac:dyDescent="0.3">
      <c r="A77">
        <v>2</v>
      </c>
      <c r="B77">
        <v>2</v>
      </c>
      <c r="C77">
        <v>2</v>
      </c>
      <c r="D77">
        <v>1</v>
      </c>
      <c r="E77">
        <v>2</v>
      </c>
      <c r="F77">
        <v>2</v>
      </c>
      <c r="G77">
        <v>4</v>
      </c>
      <c r="H77">
        <v>4</v>
      </c>
      <c r="I77">
        <v>4</v>
      </c>
      <c r="J77">
        <v>4</v>
      </c>
      <c r="K77">
        <v>4</v>
      </c>
      <c r="L77">
        <v>3</v>
      </c>
      <c r="O77" s="42"/>
      <c r="U77" s="43"/>
      <c r="V77" s="43"/>
      <c r="X77" s="42"/>
      <c r="AD77" s="43"/>
      <c r="AE77" s="43"/>
      <c r="AG77" s="61"/>
      <c r="AM77" s="45"/>
      <c r="AN77" s="43"/>
      <c r="AP77" s="2" t="s">
        <v>299</v>
      </c>
      <c r="AQ77" s="50">
        <f>SQRT(AQ73/($AQ$9*$AQ$10))</f>
        <v>0.17334234540457621</v>
      </c>
      <c r="AR77" t="s">
        <v>337</v>
      </c>
    </row>
    <row r="78" spans="1:44" ht="15.6" x14ac:dyDescent="0.3">
      <c r="A78">
        <v>2</v>
      </c>
      <c r="B78">
        <v>2</v>
      </c>
      <c r="C78">
        <v>2</v>
      </c>
      <c r="D78">
        <v>1</v>
      </c>
      <c r="E78">
        <v>2</v>
      </c>
      <c r="F78">
        <v>1</v>
      </c>
      <c r="G78">
        <v>5</v>
      </c>
      <c r="H78">
        <v>5</v>
      </c>
      <c r="I78">
        <v>4</v>
      </c>
      <c r="J78">
        <v>4</v>
      </c>
      <c r="K78">
        <v>4</v>
      </c>
      <c r="L78">
        <v>4</v>
      </c>
      <c r="O78" s="42"/>
      <c r="U78" s="43"/>
      <c r="V78" s="43"/>
      <c r="X78" s="42"/>
      <c r="AD78" s="43"/>
      <c r="AE78" s="43"/>
      <c r="AG78" s="61"/>
      <c r="AM78" s="45"/>
      <c r="AN78" s="43"/>
    </row>
    <row r="79" spans="1:44" ht="18" x14ac:dyDescent="0.35">
      <c r="A79">
        <v>2</v>
      </c>
      <c r="B79">
        <v>1</v>
      </c>
      <c r="C79">
        <v>2</v>
      </c>
      <c r="D79">
        <v>1</v>
      </c>
      <c r="E79">
        <v>2</v>
      </c>
      <c r="F79">
        <v>2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P79" s="43"/>
      <c r="Q79" s="43"/>
      <c r="R79" s="43"/>
      <c r="S79" s="43"/>
      <c r="T79" s="43"/>
      <c r="U79" s="48"/>
      <c r="V79" s="46"/>
      <c r="X79" s="42"/>
      <c r="AD79" s="43"/>
      <c r="AE79" s="43"/>
      <c r="AG79" s="61"/>
      <c r="AM79" s="45"/>
      <c r="AN79" s="43"/>
    </row>
    <row r="80" spans="1:44" ht="18" x14ac:dyDescent="0.35">
      <c r="A80">
        <v>5</v>
      </c>
      <c r="B80">
        <v>2</v>
      </c>
      <c r="C80">
        <v>1</v>
      </c>
      <c r="D80">
        <v>4</v>
      </c>
      <c r="E80">
        <v>1</v>
      </c>
      <c r="F80">
        <v>2</v>
      </c>
      <c r="G80">
        <v>4</v>
      </c>
      <c r="H80">
        <v>5</v>
      </c>
      <c r="I80">
        <v>5</v>
      </c>
      <c r="J80">
        <v>5</v>
      </c>
      <c r="K80">
        <v>4</v>
      </c>
      <c r="L80">
        <v>5</v>
      </c>
      <c r="Y80" s="43"/>
      <c r="Z80" s="43"/>
      <c r="AA80" s="43"/>
      <c r="AB80" s="43"/>
      <c r="AC80" s="43"/>
      <c r="AD80" s="48"/>
      <c r="AE80" s="43"/>
      <c r="AH80" s="48"/>
      <c r="AI80" s="48"/>
      <c r="AJ80" s="48"/>
      <c r="AK80" s="48"/>
      <c r="AL80" s="48"/>
      <c r="AM80" s="46"/>
      <c r="AN80" s="43"/>
    </row>
    <row r="81" spans="1:12" x14ac:dyDescent="0.3">
      <c r="A81">
        <v>5</v>
      </c>
      <c r="B81">
        <v>2</v>
      </c>
      <c r="C81">
        <v>1</v>
      </c>
      <c r="D81">
        <v>5</v>
      </c>
      <c r="E81">
        <v>1</v>
      </c>
      <c r="F81">
        <v>2</v>
      </c>
      <c r="G81">
        <v>2</v>
      </c>
      <c r="H81">
        <v>4</v>
      </c>
      <c r="I81">
        <v>5</v>
      </c>
      <c r="J81">
        <v>2</v>
      </c>
      <c r="K81">
        <v>2</v>
      </c>
      <c r="L81">
        <v>2</v>
      </c>
    </row>
    <row r="82" spans="1:12" x14ac:dyDescent="0.3">
      <c r="A82">
        <v>3</v>
      </c>
      <c r="B82">
        <v>2</v>
      </c>
      <c r="C82">
        <v>1</v>
      </c>
      <c r="D82">
        <v>4</v>
      </c>
      <c r="E82">
        <v>1</v>
      </c>
      <c r="F82">
        <v>2</v>
      </c>
      <c r="G82">
        <v>5</v>
      </c>
      <c r="H82">
        <v>5</v>
      </c>
      <c r="I82">
        <v>4</v>
      </c>
      <c r="J82">
        <v>4</v>
      </c>
      <c r="K82">
        <v>5</v>
      </c>
      <c r="L82">
        <v>5</v>
      </c>
    </row>
    <row r="83" spans="1:12" x14ac:dyDescent="0.3">
      <c r="A83">
        <v>2</v>
      </c>
      <c r="B83">
        <v>2</v>
      </c>
      <c r="C83">
        <v>2</v>
      </c>
      <c r="D83">
        <v>2</v>
      </c>
      <c r="E83">
        <v>2</v>
      </c>
      <c r="F83">
        <v>3</v>
      </c>
      <c r="G83">
        <v>4</v>
      </c>
      <c r="H83">
        <v>4</v>
      </c>
      <c r="I83">
        <v>4</v>
      </c>
      <c r="J83">
        <v>2</v>
      </c>
      <c r="K83">
        <v>3</v>
      </c>
      <c r="L83">
        <v>5</v>
      </c>
    </row>
    <row r="84" spans="1:12" x14ac:dyDescent="0.3">
      <c r="A84">
        <v>2</v>
      </c>
      <c r="B84">
        <v>2</v>
      </c>
      <c r="C84">
        <v>1</v>
      </c>
      <c r="D84">
        <v>2</v>
      </c>
      <c r="E84">
        <v>2</v>
      </c>
      <c r="F84">
        <v>3</v>
      </c>
      <c r="G84">
        <v>3</v>
      </c>
      <c r="H84">
        <v>4</v>
      </c>
      <c r="I84">
        <v>4</v>
      </c>
      <c r="J84">
        <v>3</v>
      </c>
      <c r="K84">
        <v>3</v>
      </c>
      <c r="L84">
        <v>4</v>
      </c>
    </row>
    <row r="85" spans="1:12" x14ac:dyDescent="0.3">
      <c r="A85">
        <v>2</v>
      </c>
      <c r="B85">
        <v>2</v>
      </c>
      <c r="C85">
        <v>2</v>
      </c>
      <c r="D85">
        <v>2</v>
      </c>
      <c r="E85">
        <v>2</v>
      </c>
      <c r="F85">
        <v>2</v>
      </c>
      <c r="G85">
        <v>4</v>
      </c>
      <c r="H85">
        <v>4</v>
      </c>
      <c r="I85">
        <v>5</v>
      </c>
      <c r="J85">
        <v>3</v>
      </c>
      <c r="K85">
        <v>4</v>
      </c>
      <c r="L85">
        <v>4</v>
      </c>
    </row>
    <row r="86" spans="1:12" x14ac:dyDescent="0.3">
      <c r="A86">
        <v>6</v>
      </c>
      <c r="B86">
        <v>2</v>
      </c>
      <c r="C86">
        <v>3</v>
      </c>
      <c r="D86">
        <v>5</v>
      </c>
      <c r="E86">
        <v>4</v>
      </c>
      <c r="F86">
        <v>2</v>
      </c>
      <c r="G86">
        <v>3</v>
      </c>
      <c r="H86">
        <v>4</v>
      </c>
      <c r="I86">
        <v>4</v>
      </c>
      <c r="J86">
        <v>4</v>
      </c>
      <c r="K86">
        <v>4</v>
      </c>
      <c r="L86">
        <v>5</v>
      </c>
    </row>
    <row r="87" spans="1:12" x14ac:dyDescent="0.3">
      <c r="A87">
        <v>6</v>
      </c>
      <c r="B87">
        <v>2</v>
      </c>
      <c r="C87">
        <v>1</v>
      </c>
      <c r="D87">
        <v>5</v>
      </c>
      <c r="E87">
        <v>2</v>
      </c>
      <c r="F87">
        <v>2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</row>
    <row r="88" spans="1:12" x14ac:dyDescent="0.3">
      <c r="A88">
        <v>3</v>
      </c>
      <c r="B88">
        <v>2</v>
      </c>
      <c r="C88">
        <v>1</v>
      </c>
      <c r="D88">
        <v>2</v>
      </c>
      <c r="E88">
        <v>1</v>
      </c>
      <c r="F88">
        <v>2</v>
      </c>
      <c r="G88">
        <v>5</v>
      </c>
      <c r="H88">
        <v>5</v>
      </c>
      <c r="I88">
        <v>4</v>
      </c>
      <c r="J88">
        <v>4</v>
      </c>
      <c r="K88">
        <v>5</v>
      </c>
      <c r="L88">
        <v>4</v>
      </c>
    </row>
    <row r="89" spans="1:12" x14ac:dyDescent="0.3">
      <c r="A89">
        <v>6</v>
      </c>
      <c r="B89">
        <v>2</v>
      </c>
      <c r="C89">
        <v>3</v>
      </c>
      <c r="D89">
        <v>5</v>
      </c>
      <c r="E89">
        <v>4</v>
      </c>
      <c r="F89">
        <v>2</v>
      </c>
      <c r="G89">
        <v>4</v>
      </c>
      <c r="H89">
        <v>4</v>
      </c>
      <c r="I89">
        <v>4</v>
      </c>
      <c r="J89">
        <v>4</v>
      </c>
      <c r="K89">
        <v>4</v>
      </c>
      <c r="L89">
        <v>3</v>
      </c>
    </row>
    <row r="90" spans="1:12" x14ac:dyDescent="0.3">
      <c r="A90">
        <v>3</v>
      </c>
      <c r="B90">
        <v>2</v>
      </c>
      <c r="C90">
        <v>2</v>
      </c>
      <c r="D90">
        <v>3</v>
      </c>
      <c r="E90">
        <v>2</v>
      </c>
      <c r="F90">
        <v>1</v>
      </c>
      <c r="G90">
        <v>3</v>
      </c>
      <c r="H90">
        <v>4</v>
      </c>
      <c r="I90">
        <v>5</v>
      </c>
      <c r="J90">
        <v>3</v>
      </c>
      <c r="K90">
        <v>2</v>
      </c>
      <c r="L90">
        <v>3</v>
      </c>
    </row>
    <row r="91" spans="1:12" x14ac:dyDescent="0.3">
      <c r="A91">
        <v>3</v>
      </c>
      <c r="B91">
        <v>2</v>
      </c>
      <c r="C91">
        <v>2</v>
      </c>
      <c r="D91">
        <v>3</v>
      </c>
      <c r="E91">
        <v>2</v>
      </c>
      <c r="F91">
        <v>2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</row>
    <row r="92" spans="1:12" x14ac:dyDescent="0.3">
      <c r="A92">
        <v>3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5</v>
      </c>
      <c r="I92">
        <v>5</v>
      </c>
      <c r="J92">
        <v>2</v>
      </c>
      <c r="K92">
        <v>3</v>
      </c>
      <c r="L92">
        <v>3</v>
      </c>
    </row>
    <row r="93" spans="1:12" x14ac:dyDescent="0.3">
      <c r="A93">
        <v>3</v>
      </c>
      <c r="B93">
        <v>2</v>
      </c>
      <c r="C93">
        <v>2</v>
      </c>
      <c r="D93">
        <v>2</v>
      </c>
      <c r="E93">
        <v>2</v>
      </c>
      <c r="F93">
        <v>2</v>
      </c>
      <c r="G93">
        <v>3</v>
      </c>
      <c r="H93">
        <v>5</v>
      </c>
      <c r="I93">
        <v>4</v>
      </c>
      <c r="J93">
        <v>3</v>
      </c>
      <c r="K93">
        <v>4</v>
      </c>
      <c r="L93">
        <v>3</v>
      </c>
    </row>
    <row r="94" spans="1:12" x14ac:dyDescent="0.3">
      <c r="A94">
        <v>4</v>
      </c>
      <c r="B94">
        <v>2</v>
      </c>
      <c r="C94">
        <v>2</v>
      </c>
      <c r="D94">
        <v>4</v>
      </c>
      <c r="E94">
        <v>2</v>
      </c>
      <c r="F94">
        <v>3</v>
      </c>
      <c r="G94">
        <v>5</v>
      </c>
      <c r="H94">
        <v>4</v>
      </c>
      <c r="I94">
        <v>4</v>
      </c>
      <c r="J94">
        <v>4</v>
      </c>
      <c r="K94">
        <v>4</v>
      </c>
      <c r="L94">
        <v>2</v>
      </c>
    </row>
    <row r="95" spans="1:12" x14ac:dyDescent="0.3">
      <c r="A95">
        <v>4</v>
      </c>
      <c r="B95">
        <v>2</v>
      </c>
      <c r="C95">
        <v>3</v>
      </c>
      <c r="D95">
        <v>5</v>
      </c>
      <c r="E95">
        <v>4</v>
      </c>
      <c r="F95">
        <v>3</v>
      </c>
      <c r="G95">
        <v>4</v>
      </c>
      <c r="H95">
        <v>4</v>
      </c>
      <c r="I95">
        <v>5</v>
      </c>
      <c r="J95">
        <v>3</v>
      </c>
      <c r="K95">
        <v>4</v>
      </c>
      <c r="L95">
        <v>3</v>
      </c>
    </row>
    <row r="96" spans="1:12" x14ac:dyDescent="0.3">
      <c r="A96">
        <v>2</v>
      </c>
      <c r="B96">
        <v>2</v>
      </c>
      <c r="C96">
        <v>2</v>
      </c>
      <c r="D96">
        <v>2</v>
      </c>
      <c r="E96">
        <v>2</v>
      </c>
      <c r="F96">
        <v>3</v>
      </c>
      <c r="G96">
        <v>3</v>
      </c>
      <c r="H96">
        <v>5</v>
      </c>
      <c r="I96">
        <v>3</v>
      </c>
      <c r="J96">
        <v>4</v>
      </c>
      <c r="K96">
        <v>5</v>
      </c>
      <c r="L96">
        <v>2</v>
      </c>
    </row>
    <row r="97" spans="1:12" x14ac:dyDescent="0.3">
      <c r="A97">
        <v>4</v>
      </c>
      <c r="B97">
        <v>2</v>
      </c>
      <c r="C97">
        <v>3</v>
      </c>
      <c r="D97">
        <v>5</v>
      </c>
      <c r="E97">
        <v>4</v>
      </c>
      <c r="F97">
        <v>2</v>
      </c>
      <c r="G97">
        <v>2</v>
      </c>
      <c r="H97">
        <v>4</v>
      </c>
      <c r="I97">
        <v>4</v>
      </c>
      <c r="J97">
        <v>2</v>
      </c>
      <c r="K97">
        <v>2</v>
      </c>
      <c r="L97">
        <v>4</v>
      </c>
    </row>
    <row r="98" spans="1:12" x14ac:dyDescent="0.3">
      <c r="A98">
        <v>3</v>
      </c>
      <c r="B98">
        <v>2</v>
      </c>
      <c r="C98">
        <v>2</v>
      </c>
      <c r="D98">
        <v>1</v>
      </c>
      <c r="E98">
        <v>2</v>
      </c>
      <c r="F98">
        <v>2</v>
      </c>
      <c r="G98">
        <v>5</v>
      </c>
      <c r="H98">
        <v>5</v>
      </c>
      <c r="I98">
        <v>5</v>
      </c>
      <c r="J98">
        <v>4</v>
      </c>
      <c r="K98">
        <v>4</v>
      </c>
      <c r="L98">
        <v>5</v>
      </c>
    </row>
    <row r="99" spans="1:12" x14ac:dyDescent="0.3">
      <c r="A99">
        <v>3</v>
      </c>
      <c r="B99">
        <v>2</v>
      </c>
      <c r="C99">
        <v>2</v>
      </c>
      <c r="D99">
        <v>2</v>
      </c>
      <c r="E99">
        <v>2</v>
      </c>
      <c r="F99">
        <v>2</v>
      </c>
      <c r="G99">
        <v>4</v>
      </c>
      <c r="H99">
        <v>4</v>
      </c>
      <c r="I99">
        <v>4</v>
      </c>
      <c r="J99">
        <v>3</v>
      </c>
      <c r="K99">
        <v>4</v>
      </c>
      <c r="L99">
        <v>4</v>
      </c>
    </row>
    <row r="100" spans="1:12" x14ac:dyDescent="0.3">
      <c r="A100">
        <v>4</v>
      </c>
      <c r="B100">
        <v>2</v>
      </c>
      <c r="C100">
        <v>2</v>
      </c>
      <c r="D100">
        <v>4</v>
      </c>
      <c r="E100">
        <v>4</v>
      </c>
      <c r="F100">
        <v>2</v>
      </c>
      <c r="G100">
        <v>3</v>
      </c>
      <c r="H100">
        <v>2</v>
      </c>
      <c r="I100">
        <v>4</v>
      </c>
      <c r="J100">
        <v>2</v>
      </c>
      <c r="K100">
        <v>2</v>
      </c>
      <c r="L100">
        <v>4</v>
      </c>
    </row>
    <row r="101" spans="1:12" x14ac:dyDescent="0.3">
      <c r="A101">
        <v>3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4</v>
      </c>
      <c r="H101">
        <v>4</v>
      </c>
      <c r="I101">
        <v>5</v>
      </c>
      <c r="J101">
        <v>4</v>
      </c>
      <c r="K101">
        <v>4</v>
      </c>
      <c r="L101">
        <v>2</v>
      </c>
    </row>
    <row r="102" spans="1:12" x14ac:dyDescent="0.3">
      <c r="A102">
        <v>5</v>
      </c>
      <c r="B102">
        <v>2</v>
      </c>
      <c r="C102">
        <v>3</v>
      </c>
      <c r="D102">
        <v>5</v>
      </c>
      <c r="E102">
        <v>4</v>
      </c>
      <c r="F102">
        <v>2</v>
      </c>
      <c r="G102">
        <v>4</v>
      </c>
      <c r="H102">
        <v>4</v>
      </c>
      <c r="I102">
        <v>3</v>
      </c>
      <c r="J102">
        <v>2</v>
      </c>
      <c r="K102">
        <v>3</v>
      </c>
      <c r="L102">
        <v>3</v>
      </c>
    </row>
    <row r="103" spans="1:12" x14ac:dyDescent="0.3">
      <c r="A103">
        <v>4</v>
      </c>
      <c r="B103">
        <v>2</v>
      </c>
      <c r="C103">
        <v>1</v>
      </c>
      <c r="D103">
        <v>2</v>
      </c>
      <c r="E103">
        <v>1</v>
      </c>
      <c r="F103">
        <v>2</v>
      </c>
      <c r="G103">
        <v>3</v>
      </c>
      <c r="H103">
        <v>4</v>
      </c>
      <c r="I103">
        <v>4</v>
      </c>
      <c r="J103">
        <v>4</v>
      </c>
      <c r="K103">
        <v>3</v>
      </c>
      <c r="L103">
        <v>3</v>
      </c>
    </row>
    <row r="104" spans="1:12" x14ac:dyDescent="0.3">
      <c r="A104">
        <v>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4</v>
      </c>
      <c r="H104">
        <v>3</v>
      </c>
      <c r="I104">
        <v>3</v>
      </c>
      <c r="J104">
        <v>3</v>
      </c>
      <c r="K104">
        <v>2</v>
      </c>
      <c r="L104">
        <v>2</v>
      </c>
    </row>
    <row r="105" spans="1:12" x14ac:dyDescent="0.3">
      <c r="A105">
        <v>3</v>
      </c>
      <c r="B105">
        <v>2</v>
      </c>
      <c r="C105">
        <v>2</v>
      </c>
      <c r="D105">
        <v>3</v>
      </c>
      <c r="E105">
        <v>2</v>
      </c>
      <c r="F105">
        <v>3</v>
      </c>
      <c r="G105">
        <v>2</v>
      </c>
      <c r="H105">
        <v>5</v>
      </c>
      <c r="I105">
        <v>5</v>
      </c>
      <c r="J105">
        <v>4</v>
      </c>
      <c r="K105">
        <v>4</v>
      </c>
      <c r="L105">
        <v>3</v>
      </c>
    </row>
    <row r="106" spans="1:12" x14ac:dyDescent="0.3">
      <c r="A106">
        <v>3</v>
      </c>
      <c r="B106">
        <v>2</v>
      </c>
      <c r="C106">
        <v>2</v>
      </c>
      <c r="D106">
        <v>3</v>
      </c>
      <c r="E106">
        <v>2</v>
      </c>
      <c r="F106">
        <v>3</v>
      </c>
      <c r="G106">
        <v>4</v>
      </c>
      <c r="H106">
        <v>5</v>
      </c>
      <c r="I106">
        <v>4</v>
      </c>
      <c r="J106">
        <v>4</v>
      </c>
      <c r="K106">
        <v>4</v>
      </c>
      <c r="L106">
        <v>3</v>
      </c>
    </row>
    <row r="107" spans="1:12" x14ac:dyDescent="0.3">
      <c r="A107">
        <v>5</v>
      </c>
      <c r="B107">
        <v>2</v>
      </c>
      <c r="C107">
        <v>3</v>
      </c>
      <c r="D107">
        <v>5</v>
      </c>
      <c r="E107">
        <v>4</v>
      </c>
      <c r="F107">
        <v>3</v>
      </c>
      <c r="G107">
        <v>3</v>
      </c>
      <c r="H107">
        <v>4</v>
      </c>
      <c r="I107">
        <v>5</v>
      </c>
      <c r="J107">
        <v>4</v>
      </c>
      <c r="K107">
        <v>4</v>
      </c>
      <c r="L107">
        <v>4</v>
      </c>
    </row>
    <row r="108" spans="1:12" x14ac:dyDescent="0.3">
      <c r="A108">
        <v>4</v>
      </c>
      <c r="B108">
        <v>2</v>
      </c>
      <c r="C108">
        <v>2</v>
      </c>
      <c r="D108">
        <v>5</v>
      </c>
      <c r="E108">
        <v>4</v>
      </c>
      <c r="F108">
        <v>2</v>
      </c>
      <c r="G108">
        <v>3</v>
      </c>
      <c r="H108">
        <v>4</v>
      </c>
      <c r="I108">
        <v>4</v>
      </c>
      <c r="J108">
        <v>3</v>
      </c>
      <c r="K108">
        <v>3</v>
      </c>
      <c r="L108">
        <v>3</v>
      </c>
    </row>
    <row r="109" spans="1:12" x14ac:dyDescent="0.3">
      <c r="A109">
        <v>2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3</v>
      </c>
      <c r="H109">
        <v>4</v>
      </c>
      <c r="I109">
        <v>3</v>
      </c>
      <c r="J109">
        <v>2</v>
      </c>
      <c r="K109">
        <v>3</v>
      </c>
      <c r="L109">
        <v>4</v>
      </c>
    </row>
    <row r="110" spans="1:12" x14ac:dyDescent="0.3">
      <c r="A110">
        <v>3</v>
      </c>
      <c r="B110">
        <v>2</v>
      </c>
      <c r="C110">
        <v>1</v>
      </c>
      <c r="D110">
        <v>2</v>
      </c>
      <c r="E110">
        <v>2</v>
      </c>
      <c r="F110">
        <v>2</v>
      </c>
      <c r="G110">
        <v>4</v>
      </c>
      <c r="H110">
        <v>5</v>
      </c>
      <c r="I110">
        <v>4</v>
      </c>
      <c r="J110">
        <v>2</v>
      </c>
      <c r="K110">
        <v>2</v>
      </c>
      <c r="L110">
        <v>2</v>
      </c>
    </row>
    <row r="111" spans="1:12" x14ac:dyDescent="0.3">
      <c r="A111">
        <v>3</v>
      </c>
      <c r="B111">
        <v>2</v>
      </c>
      <c r="C111">
        <v>2</v>
      </c>
      <c r="D111">
        <v>2</v>
      </c>
      <c r="E111">
        <v>2</v>
      </c>
      <c r="F111">
        <v>3</v>
      </c>
      <c r="G111">
        <v>4</v>
      </c>
      <c r="H111">
        <v>5</v>
      </c>
      <c r="I111">
        <v>4</v>
      </c>
      <c r="J111">
        <v>3</v>
      </c>
      <c r="K111">
        <v>4</v>
      </c>
      <c r="L111">
        <v>4</v>
      </c>
    </row>
    <row r="112" spans="1:12" x14ac:dyDescent="0.3">
      <c r="A112">
        <v>4</v>
      </c>
      <c r="B112">
        <v>2</v>
      </c>
      <c r="C112">
        <v>2</v>
      </c>
      <c r="D112">
        <v>3</v>
      </c>
      <c r="E112">
        <v>3</v>
      </c>
      <c r="F112">
        <v>2</v>
      </c>
      <c r="G112">
        <v>3</v>
      </c>
      <c r="H112">
        <v>4</v>
      </c>
      <c r="I112">
        <v>4</v>
      </c>
      <c r="J112">
        <v>3</v>
      </c>
      <c r="K112">
        <v>5</v>
      </c>
      <c r="L112">
        <v>3</v>
      </c>
    </row>
    <row r="113" spans="1:12" x14ac:dyDescent="0.3">
      <c r="A113">
        <v>5</v>
      </c>
      <c r="B113">
        <v>2</v>
      </c>
      <c r="C113">
        <v>2</v>
      </c>
      <c r="D113">
        <v>3</v>
      </c>
      <c r="E113">
        <v>4</v>
      </c>
      <c r="F113">
        <v>2</v>
      </c>
      <c r="G113">
        <v>4</v>
      </c>
      <c r="H113">
        <v>5</v>
      </c>
      <c r="I113">
        <v>4</v>
      </c>
      <c r="J113">
        <v>4</v>
      </c>
      <c r="K113">
        <v>4</v>
      </c>
      <c r="L113">
        <v>4</v>
      </c>
    </row>
    <row r="114" spans="1:12" x14ac:dyDescent="0.3">
      <c r="A114">
        <v>5</v>
      </c>
      <c r="B114">
        <v>2</v>
      </c>
      <c r="C114">
        <v>1</v>
      </c>
      <c r="D114">
        <v>4</v>
      </c>
      <c r="E114">
        <v>2</v>
      </c>
      <c r="F114">
        <v>2</v>
      </c>
      <c r="G114">
        <v>3</v>
      </c>
      <c r="H114">
        <v>5</v>
      </c>
      <c r="I114">
        <v>4</v>
      </c>
      <c r="J114">
        <v>4</v>
      </c>
      <c r="K114">
        <v>4</v>
      </c>
      <c r="L114">
        <v>4</v>
      </c>
    </row>
    <row r="115" spans="1:12" x14ac:dyDescent="0.3">
      <c r="A115">
        <v>2</v>
      </c>
      <c r="B115">
        <v>2</v>
      </c>
      <c r="C115">
        <v>2</v>
      </c>
      <c r="D115">
        <v>1</v>
      </c>
      <c r="E115">
        <v>2</v>
      </c>
      <c r="F115">
        <v>2</v>
      </c>
      <c r="G115">
        <v>3</v>
      </c>
      <c r="H115">
        <v>4</v>
      </c>
      <c r="I115">
        <v>5</v>
      </c>
      <c r="J115">
        <v>4</v>
      </c>
      <c r="K115">
        <v>4</v>
      </c>
      <c r="L115">
        <v>5</v>
      </c>
    </row>
    <row r="116" spans="1:12" x14ac:dyDescent="0.3">
      <c r="A116">
        <v>2</v>
      </c>
      <c r="B116">
        <v>2</v>
      </c>
      <c r="C116">
        <v>2</v>
      </c>
      <c r="D116">
        <v>1</v>
      </c>
      <c r="E116">
        <v>2</v>
      </c>
      <c r="F116">
        <v>3</v>
      </c>
      <c r="G116">
        <v>4</v>
      </c>
      <c r="H116">
        <v>5</v>
      </c>
      <c r="I116">
        <v>5</v>
      </c>
      <c r="J116">
        <v>4</v>
      </c>
      <c r="K116">
        <v>4</v>
      </c>
      <c r="L116">
        <v>4</v>
      </c>
    </row>
    <row r="117" spans="1:12" x14ac:dyDescent="0.3">
      <c r="A117">
        <v>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5</v>
      </c>
      <c r="I117">
        <v>5</v>
      </c>
      <c r="J117">
        <v>3</v>
      </c>
      <c r="K117">
        <v>4</v>
      </c>
      <c r="L117">
        <v>4</v>
      </c>
    </row>
    <row r="118" spans="1:12" x14ac:dyDescent="0.3">
      <c r="A118">
        <v>4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3</v>
      </c>
    </row>
    <row r="119" spans="1:12" x14ac:dyDescent="0.3">
      <c r="A119">
        <v>3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4</v>
      </c>
      <c r="H119">
        <v>5</v>
      </c>
      <c r="I119">
        <v>5</v>
      </c>
      <c r="J119">
        <v>2</v>
      </c>
      <c r="K119">
        <v>3</v>
      </c>
      <c r="L119">
        <v>3</v>
      </c>
    </row>
    <row r="120" spans="1:12" x14ac:dyDescent="0.3">
      <c r="A120">
        <v>3</v>
      </c>
      <c r="B120">
        <v>2</v>
      </c>
      <c r="C120">
        <v>1</v>
      </c>
      <c r="D120">
        <v>2</v>
      </c>
      <c r="E120">
        <v>1</v>
      </c>
      <c r="F120">
        <v>3</v>
      </c>
      <c r="G120">
        <v>4</v>
      </c>
      <c r="H120">
        <v>5</v>
      </c>
      <c r="I120">
        <v>4</v>
      </c>
      <c r="J120">
        <v>1</v>
      </c>
      <c r="K120">
        <v>3</v>
      </c>
      <c r="L120">
        <v>2</v>
      </c>
    </row>
    <row r="121" spans="1:12" x14ac:dyDescent="0.3">
      <c r="A121">
        <v>3</v>
      </c>
      <c r="B121">
        <v>2</v>
      </c>
      <c r="C121">
        <v>2</v>
      </c>
      <c r="D121">
        <v>3</v>
      </c>
      <c r="E121">
        <v>3</v>
      </c>
      <c r="F121">
        <v>3</v>
      </c>
      <c r="G121">
        <v>2</v>
      </c>
      <c r="H121">
        <v>4</v>
      </c>
      <c r="I121">
        <v>5</v>
      </c>
      <c r="J121">
        <v>3</v>
      </c>
      <c r="K121">
        <v>4</v>
      </c>
      <c r="L121">
        <v>5</v>
      </c>
    </row>
    <row r="122" spans="1:12" x14ac:dyDescent="0.3">
      <c r="A122">
        <v>6</v>
      </c>
      <c r="B122">
        <v>2</v>
      </c>
      <c r="C122">
        <v>1</v>
      </c>
      <c r="D122">
        <v>3</v>
      </c>
      <c r="E122">
        <v>1</v>
      </c>
      <c r="F122">
        <v>2</v>
      </c>
      <c r="G122">
        <v>4</v>
      </c>
      <c r="H122">
        <v>5</v>
      </c>
      <c r="I122">
        <v>5</v>
      </c>
      <c r="J122">
        <v>5</v>
      </c>
      <c r="K122">
        <v>5</v>
      </c>
      <c r="L122">
        <v>4</v>
      </c>
    </row>
    <row r="123" spans="1:12" x14ac:dyDescent="0.3">
      <c r="A123">
        <v>4</v>
      </c>
      <c r="B123">
        <v>2</v>
      </c>
      <c r="C123">
        <v>3</v>
      </c>
      <c r="D123">
        <v>4</v>
      </c>
      <c r="E123">
        <v>4</v>
      </c>
      <c r="F123">
        <v>2</v>
      </c>
      <c r="G123">
        <v>1</v>
      </c>
      <c r="H123">
        <v>5</v>
      </c>
      <c r="I123">
        <v>4</v>
      </c>
      <c r="J123">
        <v>1</v>
      </c>
      <c r="K123">
        <v>3</v>
      </c>
      <c r="L123">
        <v>2</v>
      </c>
    </row>
    <row r="124" spans="1:12" x14ac:dyDescent="0.3">
      <c r="A124">
        <v>4</v>
      </c>
      <c r="B124">
        <v>2</v>
      </c>
      <c r="C124">
        <v>3</v>
      </c>
      <c r="D124">
        <v>5</v>
      </c>
      <c r="E124">
        <v>3</v>
      </c>
      <c r="F124">
        <v>2</v>
      </c>
      <c r="G124">
        <v>3</v>
      </c>
      <c r="H124">
        <v>3</v>
      </c>
      <c r="I124">
        <v>4</v>
      </c>
      <c r="J124">
        <v>3</v>
      </c>
      <c r="K124">
        <v>2</v>
      </c>
      <c r="L124">
        <v>3</v>
      </c>
    </row>
    <row r="125" spans="1:12" x14ac:dyDescent="0.3">
      <c r="A125">
        <v>5</v>
      </c>
      <c r="B125">
        <v>2</v>
      </c>
      <c r="C125">
        <v>2</v>
      </c>
      <c r="D125">
        <v>5</v>
      </c>
      <c r="E125">
        <v>4</v>
      </c>
      <c r="F125">
        <v>2</v>
      </c>
      <c r="G125">
        <v>5</v>
      </c>
      <c r="H125">
        <v>4</v>
      </c>
      <c r="I125">
        <v>4</v>
      </c>
      <c r="J125">
        <v>4</v>
      </c>
      <c r="K125">
        <v>5</v>
      </c>
      <c r="L125">
        <v>5</v>
      </c>
    </row>
    <row r="126" spans="1:12" x14ac:dyDescent="0.3">
      <c r="A126">
        <v>3</v>
      </c>
      <c r="B126">
        <v>2</v>
      </c>
      <c r="C126">
        <v>2</v>
      </c>
      <c r="D126">
        <v>3</v>
      </c>
      <c r="E126">
        <v>2</v>
      </c>
      <c r="F126">
        <v>3</v>
      </c>
      <c r="G126">
        <v>3</v>
      </c>
      <c r="H126">
        <v>4</v>
      </c>
      <c r="I126">
        <v>5</v>
      </c>
      <c r="J126">
        <v>3</v>
      </c>
      <c r="K126">
        <v>5</v>
      </c>
      <c r="L126">
        <v>3</v>
      </c>
    </row>
    <row r="127" spans="1:12" x14ac:dyDescent="0.3">
      <c r="A127">
        <v>6</v>
      </c>
      <c r="B127">
        <v>2</v>
      </c>
      <c r="C127">
        <v>3</v>
      </c>
      <c r="D127">
        <v>5</v>
      </c>
      <c r="E127">
        <v>4</v>
      </c>
      <c r="F127">
        <v>2</v>
      </c>
      <c r="G127">
        <v>5</v>
      </c>
      <c r="H127">
        <v>4</v>
      </c>
      <c r="I127">
        <v>4</v>
      </c>
      <c r="J127">
        <v>3</v>
      </c>
      <c r="K127">
        <v>4</v>
      </c>
      <c r="L127">
        <v>4</v>
      </c>
    </row>
    <row r="128" spans="1:12" x14ac:dyDescent="0.3">
      <c r="A128">
        <v>3</v>
      </c>
      <c r="B128">
        <v>2</v>
      </c>
      <c r="C128">
        <v>2</v>
      </c>
      <c r="D128">
        <v>2</v>
      </c>
      <c r="E128">
        <v>2</v>
      </c>
      <c r="F128">
        <v>3</v>
      </c>
      <c r="G128">
        <v>2</v>
      </c>
      <c r="H128">
        <v>3</v>
      </c>
      <c r="I128">
        <v>4</v>
      </c>
      <c r="J128">
        <v>3</v>
      </c>
      <c r="K128">
        <v>3</v>
      </c>
      <c r="L128">
        <v>1</v>
      </c>
    </row>
    <row r="129" spans="1:12" x14ac:dyDescent="0.3">
      <c r="A129">
        <v>3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4</v>
      </c>
      <c r="H129">
        <v>5</v>
      </c>
      <c r="I129">
        <v>5</v>
      </c>
      <c r="J129">
        <v>2</v>
      </c>
      <c r="K129">
        <v>4</v>
      </c>
      <c r="L129">
        <v>1</v>
      </c>
    </row>
    <row r="130" spans="1:12" x14ac:dyDescent="0.3">
      <c r="A130">
        <v>4</v>
      </c>
      <c r="B130">
        <v>2</v>
      </c>
      <c r="C130">
        <v>1</v>
      </c>
      <c r="D130">
        <v>4</v>
      </c>
      <c r="E130">
        <v>1</v>
      </c>
      <c r="F130">
        <v>2</v>
      </c>
      <c r="G130">
        <v>2</v>
      </c>
      <c r="H130">
        <v>1</v>
      </c>
      <c r="I130">
        <v>1</v>
      </c>
      <c r="J130">
        <v>1</v>
      </c>
      <c r="K130">
        <v>2</v>
      </c>
      <c r="L130">
        <v>2</v>
      </c>
    </row>
    <row r="131" spans="1:12" x14ac:dyDescent="0.3">
      <c r="A131">
        <v>5</v>
      </c>
      <c r="B131">
        <v>2</v>
      </c>
      <c r="C131">
        <v>2</v>
      </c>
      <c r="D131">
        <v>2</v>
      </c>
      <c r="E131">
        <v>3</v>
      </c>
      <c r="F131">
        <v>2</v>
      </c>
      <c r="G131">
        <v>5</v>
      </c>
      <c r="H131">
        <v>5</v>
      </c>
      <c r="I131">
        <v>5</v>
      </c>
      <c r="J131">
        <v>3</v>
      </c>
      <c r="K131">
        <v>4</v>
      </c>
      <c r="L131">
        <v>3</v>
      </c>
    </row>
    <row r="132" spans="1:12" x14ac:dyDescent="0.3">
      <c r="A132">
        <v>4</v>
      </c>
      <c r="B132">
        <v>2</v>
      </c>
      <c r="C132">
        <v>3</v>
      </c>
      <c r="D132">
        <v>3</v>
      </c>
      <c r="E132">
        <v>2</v>
      </c>
      <c r="F132">
        <v>2</v>
      </c>
      <c r="G132">
        <v>3</v>
      </c>
      <c r="H132">
        <v>4</v>
      </c>
      <c r="I132">
        <v>5</v>
      </c>
      <c r="J132">
        <v>4</v>
      </c>
      <c r="K132">
        <v>5</v>
      </c>
      <c r="L132">
        <v>4</v>
      </c>
    </row>
    <row r="133" spans="1:12" x14ac:dyDescent="0.3">
      <c r="A133">
        <v>3</v>
      </c>
      <c r="B133">
        <v>2</v>
      </c>
      <c r="C133">
        <v>2</v>
      </c>
      <c r="D133">
        <v>2</v>
      </c>
      <c r="E133">
        <v>3</v>
      </c>
      <c r="F133">
        <v>2</v>
      </c>
      <c r="G133">
        <v>4</v>
      </c>
      <c r="H133">
        <v>4</v>
      </c>
      <c r="I133">
        <v>2</v>
      </c>
      <c r="J133">
        <v>2</v>
      </c>
      <c r="K133">
        <v>2</v>
      </c>
      <c r="L133">
        <v>2</v>
      </c>
    </row>
    <row r="134" spans="1:12" x14ac:dyDescent="0.3">
      <c r="A134">
        <v>2</v>
      </c>
      <c r="B134">
        <v>1</v>
      </c>
      <c r="C134">
        <v>1</v>
      </c>
      <c r="D134">
        <v>1</v>
      </c>
      <c r="E134">
        <v>1</v>
      </c>
      <c r="F134">
        <v>2</v>
      </c>
      <c r="G134">
        <v>3</v>
      </c>
      <c r="H134">
        <v>2</v>
      </c>
      <c r="I134">
        <v>4</v>
      </c>
      <c r="J134">
        <v>2</v>
      </c>
      <c r="K134">
        <v>4</v>
      </c>
      <c r="L134">
        <v>3</v>
      </c>
    </row>
    <row r="135" spans="1:12" x14ac:dyDescent="0.3">
      <c r="A135">
        <v>5</v>
      </c>
      <c r="B135">
        <v>2</v>
      </c>
      <c r="C135">
        <v>1</v>
      </c>
      <c r="D135">
        <v>2</v>
      </c>
      <c r="E135">
        <v>1</v>
      </c>
      <c r="F135">
        <v>1</v>
      </c>
      <c r="G135">
        <v>5</v>
      </c>
      <c r="H135">
        <v>4</v>
      </c>
      <c r="I135">
        <v>4</v>
      </c>
      <c r="J135">
        <v>5</v>
      </c>
      <c r="K135">
        <v>5</v>
      </c>
      <c r="L135">
        <v>1</v>
      </c>
    </row>
    <row r="136" spans="1:12" x14ac:dyDescent="0.3">
      <c r="A136">
        <v>4</v>
      </c>
      <c r="B136">
        <v>2</v>
      </c>
      <c r="C136">
        <v>3</v>
      </c>
      <c r="D136">
        <v>4</v>
      </c>
      <c r="E136">
        <v>3</v>
      </c>
      <c r="F136">
        <v>2</v>
      </c>
      <c r="G136">
        <v>3</v>
      </c>
      <c r="H136">
        <v>4</v>
      </c>
      <c r="I136">
        <v>4</v>
      </c>
      <c r="J136">
        <v>4</v>
      </c>
      <c r="K136">
        <v>4</v>
      </c>
      <c r="L136">
        <v>3</v>
      </c>
    </row>
    <row r="137" spans="1:12" x14ac:dyDescent="0.3">
      <c r="A137">
        <v>3</v>
      </c>
      <c r="B137">
        <v>2</v>
      </c>
      <c r="C137">
        <v>2</v>
      </c>
      <c r="D137">
        <v>3</v>
      </c>
      <c r="E137">
        <v>2</v>
      </c>
      <c r="F137">
        <v>2</v>
      </c>
      <c r="G137">
        <v>3</v>
      </c>
      <c r="H137">
        <v>2</v>
      </c>
      <c r="I137">
        <v>4</v>
      </c>
      <c r="J137">
        <v>2</v>
      </c>
      <c r="K137">
        <v>4</v>
      </c>
      <c r="L137">
        <v>2</v>
      </c>
    </row>
  </sheetData>
  <mergeCells count="18">
    <mergeCell ref="P1:U1"/>
    <mergeCell ref="P15:U15"/>
    <mergeCell ref="P29:U29"/>
    <mergeCell ref="X57:AC57"/>
    <mergeCell ref="Y71:AC71"/>
    <mergeCell ref="Y1:AD1"/>
    <mergeCell ref="AH1:AM1"/>
    <mergeCell ref="Y15:AD15"/>
    <mergeCell ref="AG15:AM15"/>
    <mergeCell ref="Y29:AD29"/>
    <mergeCell ref="AG29:AM29"/>
    <mergeCell ref="AG57:AL57"/>
    <mergeCell ref="AG71:AL71"/>
    <mergeCell ref="P43:U43"/>
    <mergeCell ref="P57:U57"/>
    <mergeCell ref="P71:U71"/>
    <mergeCell ref="Y43:AD43"/>
    <mergeCell ref="AG43:AM43"/>
  </mergeCells>
  <hyperlinks>
    <hyperlink ref="P5" r:id="rId1" display="=@sum(P3:P8"/>
    <hyperlink ref="AM17" r:id="rId2" display="=@sum(AH18:AL18)"/>
    <hyperlink ref="AM18:AM23" r:id="rId3" display="=@sum(AH18:AL18)"/>
    <hyperlink ref="AM3" r:id="rId4" display="=@sum(AH3:AL3)"/>
    <hyperlink ref="AQ5" r:id="rId5" display="=@sum(AH3:AL8)"/>
    <hyperlink ref="U31" r:id="rId6" display="=@sum(P3:U3"/>
    <hyperlink ref="U32:U37" r:id="rId7" display="=@sum(P3:U3"/>
    <hyperlink ref="U17" r:id="rId8" display="=@sum(P3:U3"/>
    <hyperlink ref="AD17" r:id="rId9" display="=@sum(Y17:AD17)"/>
    <hyperlink ref="U3" r:id="rId10" display="=@sum(P3:U3"/>
    <hyperlink ref="U4:U8" r:id="rId11" display="=@sum(P3:U3"/>
    <hyperlink ref="U18:U23" r:id="rId12" display="=@sum(P3:U3"/>
    <hyperlink ref="AD18:AD23" r:id="rId13" display="=@sum(Y17:AD17)"/>
    <hyperlink ref="U45" r:id="rId14" display="=@sum(P45:T45)"/>
    <hyperlink ref="U46:U51" r:id="rId15" display="=@sum(P45:T45)"/>
    <hyperlink ref="U59" r:id="rId16" display="=@sum(P59:T59)"/>
    <hyperlink ref="U60:U65" r:id="rId17" display="=@sum(P59:T59)"/>
    <hyperlink ref="U73" r:id="rId18" display="=@sum(P73:T73"/>
    <hyperlink ref="U74:U79" r:id="rId19" display="=@sum(P73:T73"/>
    <hyperlink ref="AM31" r:id="rId20" display="=@sum(AH18:AL18)"/>
    <hyperlink ref="AM32:AM37" r:id="rId21" display="=@sum(AH18:AL18)"/>
    <hyperlink ref="AD31" r:id="rId22" display="=@sum(Y17:AD17)"/>
    <hyperlink ref="AD32:AD37" r:id="rId23" display="=@sum(Y17:AD17)"/>
    <hyperlink ref="AM45" r:id="rId24" display="=@sum(AH18:AL18)"/>
    <hyperlink ref="AM46:AM51" r:id="rId25" display="=@sum(AH18:AL18)"/>
    <hyperlink ref="AD45" r:id="rId26" display="=@sum(Y17:AD17)"/>
    <hyperlink ref="AD46:AD51" r:id="rId27" display="=@sum(Y17:AD17)"/>
    <hyperlink ref="AM59" r:id="rId28" display="=@sum(AH18:AL18)"/>
    <hyperlink ref="AM60:AM66" r:id="rId29" display="=@sum(AH18:AL18)"/>
    <hyperlink ref="AD59" r:id="rId30" display="=@sum(Y17:AD17)"/>
    <hyperlink ref="AD60:AD66" r:id="rId31" display="=@sum(Y17:AD17)"/>
    <hyperlink ref="AM73" r:id="rId32" display="=@sum(AH18:AL18)"/>
    <hyperlink ref="AD73" r:id="rId33" display="=@sum(Y17:AD17)"/>
    <hyperlink ref="AD4" r:id="rId34" display="=@SUM(Y4:AC4)"/>
    <hyperlink ref="Z5:AC5" r:id="rId35" display="=@sum(Y3:Y4)"/>
    <hyperlink ref="Y5" r:id="rId36" display="=@sum(Y3:Y4)"/>
    <hyperlink ref="AM4:AM5" r:id="rId37" display="=@sum(AH3:AL3)"/>
    <hyperlink ref="AH5" r:id="rId38" display="=@sum(AH3:AH4)"/>
    <hyperlink ref="AI5:AM5" r:id="rId39" display="=@sum(AH3:AH4)"/>
    <hyperlink ref="P19" r:id="rId40" display="=@sum(P17:P18)"/>
    <hyperlink ref="Q19:U19" r:id="rId41" display="=@sum(P17:P18)"/>
    <hyperlink ref="AD5" r:id="rId42" display="=@SUM(Y4:AC4)"/>
    <hyperlink ref="Y19" r:id="rId43" display="=@sum(Y17:Y18)"/>
    <hyperlink ref="Z19:AD19" r:id="rId44" display="=@sum(Y17:Y18)"/>
    <hyperlink ref="P33" r:id="rId45" display="=@sum(P31:P32)"/>
    <hyperlink ref="Q33:U33" r:id="rId46" display="=@sum(P31:P32)"/>
    <hyperlink ref="Y33" r:id="rId47" display="=@sum(Y31:Y32)"/>
    <hyperlink ref="Z33:AD33" r:id="rId48" display="=@sum(Y31:Y32)"/>
    <hyperlink ref="P47" r:id="rId49" display="=@sum(P45:P46)"/>
    <hyperlink ref="Q47:U47" r:id="rId50" display="=@sum(P45:P46)"/>
    <hyperlink ref="Y47" r:id="rId51" display="=@sum(Y45:Y46"/>
    <hyperlink ref="Z47:AD47" r:id="rId52" display="=@sum(Y45:Y46"/>
    <hyperlink ref="P61" r:id="rId53" display="=@sum(P59:P60)"/>
    <hyperlink ref="Q61:U61" r:id="rId54" display="=@sum(P59:P60)"/>
    <hyperlink ref="P75" r:id="rId55" display="=@sum(P73:P74)"/>
    <hyperlink ref="Q75:U75" r:id="rId56" display="=@sum(P73:P74)"/>
    <hyperlink ref="Y61" r:id="rId57" display="=@sum(Y59:Y60)"/>
    <hyperlink ref="Z61:AD61" r:id="rId58" display="=@sum(Y59:Y60)"/>
    <hyperlink ref="Y75" r:id="rId59" display="=@sum(Y73:Y74)"/>
    <hyperlink ref="Z75:AC75" r:id="rId60" display="=@sum(Y73:Y74)"/>
    <hyperlink ref="AD75" r:id="rId61" display="=@sum(Y73:Y74)"/>
    <hyperlink ref="AD3" r:id="rId62" display="=@SUM(Y4:AC4)"/>
    <hyperlink ref="Q5:T5" r:id="rId63" display="=@sum(P3:P8"/>
    <hyperlink ref="AH19" r:id="rId64" display="=@sum(AH17:AH18)"/>
    <hyperlink ref="AI19:AM19" r:id="rId65" display="=@sum(AH17:AH18)"/>
    <hyperlink ref="AH33" r:id="rId66" display="=@SUM(AH31:AH32)"/>
    <hyperlink ref="AI33:AL33" r:id="rId67" display="=@SUM(AH31:AH32)"/>
    <hyperlink ref="AH47" r:id="rId68" display="=@SUM(AH45:AH46)"/>
    <hyperlink ref="AI47:AM47" r:id="rId69" display="=@SUM(AH45:AH46)"/>
    <hyperlink ref="AH61" r:id="rId70" display="=@SUM(AH59:AH60)"/>
    <hyperlink ref="AI61:AM61" r:id="rId71" display="=@SUM(AH59:AH60)"/>
    <hyperlink ref="AH75" r:id="rId72" display="=@SUM(AH74:AH75)"/>
    <hyperlink ref="AI75:AM75" r:id="rId73" display="=@SUM(AH74:AH75)"/>
    <hyperlink ref="AM74" r:id="rId74" display="=@sum(AH18:AL18)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7"/>
  <sheetViews>
    <sheetView workbookViewId="0">
      <selection activeCell="H1" sqref="H1"/>
    </sheetView>
  </sheetViews>
  <sheetFormatPr defaultRowHeight="14.4" x14ac:dyDescent="0.3"/>
  <cols>
    <col min="1" max="1" width="4.88671875" customWidth="1"/>
    <col min="2" max="2" width="7.5546875" customWidth="1"/>
    <col min="3" max="3" width="8.33203125" customWidth="1"/>
    <col min="4" max="4" width="10.88671875" bestFit="1" customWidth="1"/>
    <col min="5" max="5" width="9.6640625" bestFit="1" customWidth="1"/>
    <col min="6" max="6" width="5.6640625" customWidth="1"/>
    <col min="7" max="12" width="12.33203125" customWidth="1"/>
  </cols>
  <sheetData>
    <row r="1" spans="1:22" x14ac:dyDescent="0.3">
      <c r="A1" s="9" t="s">
        <v>96</v>
      </c>
      <c r="B1" s="9" t="s">
        <v>4</v>
      </c>
      <c r="C1" s="9" t="s">
        <v>5</v>
      </c>
      <c r="D1" s="9" t="s">
        <v>6</v>
      </c>
      <c r="E1" s="9" t="s">
        <v>7</v>
      </c>
      <c r="F1" s="9" t="s">
        <v>134</v>
      </c>
      <c r="G1" t="s">
        <v>100</v>
      </c>
      <c r="H1" t="s">
        <v>101</v>
      </c>
      <c r="I1" t="s">
        <v>102</v>
      </c>
      <c r="J1" t="s">
        <v>103</v>
      </c>
      <c r="K1" t="s">
        <v>104</v>
      </c>
      <c r="L1" t="s">
        <v>105</v>
      </c>
      <c r="P1" s="106" t="s">
        <v>199</v>
      </c>
      <c r="Q1" s="106"/>
      <c r="R1" s="106"/>
      <c r="S1" s="106"/>
      <c r="T1" s="106"/>
      <c r="U1" s="106"/>
    </row>
    <row r="2" spans="1:22" ht="15.6" x14ac:dyDescent="0.3">
      <c r="A2">
        <v>3</v>
      </c>
      <c r="B2">
        <v>2</v>
      </c>
      <c r="C2">
        <v>2</v>
      </c>
      <c r="D2">
        <v>2</v>
      </c>
      <c r="E2">
        <v>2</v>
      </c>
      <c r="F2">
        <v>3</v>
      </c>
      <c r="G2">
        <v>3</v>
      </c>
      <c r="H2">
        <v>4</v>
      </c>
      <c r="I2">
        <v>3</v>
      </c>
      <c r="J2">
        <v>5</v>
      </c>
      <c r="K2">
        <v>4</v>
      </c>
      <c r="L2">
        <v>5</v>
      </c>
      <c r="O2" s="11" t="s">
        <v>142</v>
      </c>
      <c r="P2" s="10">
        <v>1</v>
      </c>
      <c r="Q2" s="10">
        <v>2</v>
      </c>
      <c r="R2" s="10">
        <v>3</v>
      </c>
      <c r="S2" s="10">
        <v>4</v>
      </c>
      <c r="T2" s="10">
        <v>5</v>
      </c>
      <c r="U2" s="10">
        <v>6</v>
      </c>
    </row>
    <row r="3" spans="1:22" ht="15.6" x14ac:dyDescent="0.3">
      <c r="A3">
        <v>5</v>
      </c>
      <c r="B3">
        <v>2</v>
      </c>
      <c r="C3">
        <v>3</v>
      </c>
      <c r="D3">
        <v>5</v>
      </c>
      <c r="E3">
        <v>4</v>
      </c>
      <c r="F3">
        <v>2</v>
      </c>
      <c r="G3">
        <v>4</v>
      </c>
      <c r="H3">
        <v>5</v>
      </c>
      <c r="I3">
        <v>4</v>
      </c>
      <c r="J3">
        <v>4</v>
      </c>
      <c r="K3">
        <v>3</v>
      </c>
      <c r="L3">
        <v>4</v>
      </c>
      <c r="O3" s="41">
        <v>1</v>
      </c>
      <c r="P3">
        <f>COUNTIFS($A$2:$A$137,"1",$G$2:$G$137,"1")</f>
        <v>0</v>
      </c>
      <c r="Q3">
        <f>COUNTIFS($A$2:$A$137,"1",$G$2:$G$137,"2")</f>
        <v>0</v>
      </c>
      <c r="R3">
        <f>COUNTIFS($A$2:$A$137,"1",$G$2:$G$137,"3")</f>
        <v>0</v>
      </c>
      <c r="S3">
        <f>COUNTIFS($A$2:$A$137,"1",$G$2:$G$137,"4")</f>
        <v>0</v>
      </c>
      <c r="T3">
        <f>COUNTIFS($A$2:$A$137,"1",$G$2:$G$137,"5")</f>
        <v>0</v>
      </c>
      <c r="U3">
        <f>COUNTIFS($A$2:$A$137,"1",$G$2:$G$137,"6")</f>
        <v>0</v>
      </c>
      <c r="V3" s="10">
        <f>COUNTIFS($A$2:$A$137,"1",$G$2:$G$137,"1")</f>
        <v>0</v>
      </c>
    </row>
    <row r="4" spans="1:22" ht="15.6" x14ac:dyDescent="0.3">
      <c r="A4">
        <v>3</v>
      </c>
      <c r="B4">
        <v>2</v>
      </c>
      <c r="C4">
        <v>2</v>
      </c>
      <c r="D4">
        <v>3</v>
      </c>
      <c r="E4">
        <v>2</v>
      </c>
      <c r="F4">
        <v>2</v>
      </c>
      <c r="G4">
        <v>4</v>
      </c>
      <c r="H4">
        <v>4</v>
      </c>
      <c r="I4">
        <v>4</v>
      </c>
      <c r="J4">
        <v>4</v>
      </c>
      <c r="K4">
        <v>4</v>
      </c>
      <c r="L4">
        <v>5</v>
      </c>
      <c r="O4" s="41">
        <v>2</v>
      </c>
      <c r="P4">
        <f>COUNTIFS($A$2:$A$137,"2",$G$2:$G$137,"1")</f>
        <v>0</v>
      </c>
      <c r="Q4">
        <f>COUNTIFS($A$2:$A$137,"2",$G$2:$G$137,"2")</f>
        <v>0</v>
      </c>
      <c r="R4">
        <f>COUNTIFS($A$2:$A$137,"2",$G$2:$G$137,"3")</f>
        <v>5</v>
      </c>
      <c r="S4">
        <f>COUNTIFS($A$2:$A$137,"2",$G$2:$G$137,"4")</f>
        <v>12</v>
      </c>
      <c r="T4">
        <f>COUNTIFS($A$2:$A$137,"2",$G$2:$G$137,"5")</f>
        <v>7</v>
      </c>
      <c r="U4">
        <f>COUNTIFS($A$2:$A$137,"2",$G$2:$G$137,"6")</f>
        <v>0</v>
      </c>
      <c r="V4" s="45">
        <f>SUM(P4:U4)</f>
        <v>24</v>
      </c>
    </row>
    <row r="5" spans="1:22" ht="15.6" x14ac:dyDescent="0.3">
      <c r="A5">
        <v>5</v>
      </c>
      <c r="B5">
        <v>2</v>
      </c>
      <c r="C5">
        <v>3</v>
      </c>
      <c r="D5">
        <v>5</v>
      </c>
      <c r="E5">
        <v>4</v>
      </c>
      <c r="F5">
        <v>2</v>
      </c>
      <c r="G5">
        <v>5</v>
      </c>
      <c r="H5">
        <v>5</v>
      </c>
      <c r="I5">
        <v>5</v>
      </c>
      <c r="J5">
        <v>5</v>
      </c>
      <c r="K5">
        <v>4</v>
      </c>
      <c r="L5">
        <v>5</v>
      </c>
      <c r="O5" s="41">
        <v>3</v>
      </c>
      <c r="P5">
        <f>COUNTIFS($A$2:$A$137,"3",$G$2:$G$137,"1")</f>
        <v>1</v>
      </c>
      <c r="Q5">
        <f>COUNTIFS($A$2:$A$137,"3",$G$2:$G$137,"2")</f>
        <v>2</v>
      </c>
      <c r="R5">
        <f>COUNTIFS($A$2:$A$137,"3",$G$2:$G$137,"3")</f>
        <v>16</v>
      </c>
      <c r="S5">
        <f>COUNTIFS($A$2:$A$137,"3",$G$2:$G$137,"4")</f>
        <v>19</v>
      </c>
      <c r="T5">
        <f>COUNTIFS($A$2:$A$137,"3",$G$2:$G$137,"5")</f>
        <v>7</v>
      </c>
      <c r="U5">
        <f>COUNTIFS($A$2:$A$137,"3",$G$2:$G$137,"6")</f>
        <v>0</v>
      </c>
      <c r="V5" s="45">
        <f>SUM(P5:U5)</f>
        <v>45</v>
      </c>
    </row>
    <row r="6" spans="1:22" ht="15.6" x14ac:dyDescent="0.3">
      <c r="A6">
        <v>5</v>
      </c>
      <c r="B6">
        <v>2</v>
      </c>
      <c r="C6">
        <v>3</v>
      </c>
      <c r="D6">
        <v>5</v>
      </c>
      <c r="E6">
        <v>4</v>
      </c>
      <c r="F6">
        <v>1</v>
      </c>
      <c r="G6">
        <v>3</v>
      </c>
      <c r="H6">
        <v>3</v>
      </c>
      <c r="I6">
        <v>4</v>
      </c>
      <c r="J6">
        <v>3</v>
      </c>
      <c r="K6">
        <v>3</v>
      </c>
      <c r="L6">
        <v>4</v>
      </c>
      <c r="O6" s="41">
        <v>4</v>
      </c>
      <c r="P6">
        <f>COUNTIFS($A$2:$A$137,"4",$G$2:$G$137,"1")</f>
        <v>1</v>
      </c>
      <c r="Q6">
        <f>COUNTIFS($A$2:$A$137,"4",$G$2:$G$137,"2")</f>
        <v>1</v>
      </c>
      <c r="R6">
        <f>COUNTIFS($A$2:$A$137,"4",$G$2:$G$137,"3")</f>
        <v>5</v>
      </c>
      <c r="S6">
        <f>COUNTIFS($A$2:$A$137,"4",$G$2:$G$137,"4")</f>
        <v>7</v>
      </c>
      <c r="T6">
        <f>COUNTIFS($A$2:$A$137,"4",$G$2:$G$137,"5")</f>
        <v>8</v>
      </c>
      <c r="U6">
        <f>COUNTIFS($A$2:$A$137,"4",$G$2:$G$137,"6")</f>
        <v>0</v>
      </c>
      <c r="V6" s="45">
        <f>SUM(P6:U6)</f>
        <v>22</v>
      </c>
    </row>
    <row r="7" spans="1:22" ht="15.6" x14ac:dyDescent="0.3">
      <c r="A7">
        <v>3</v>
      </c>
      <c r="B7">
        <v>2</v>
      </c>
      <c r="C7">
        <v>2</v>
      </c>
      <c r="D7">
        <v>2</v>
      </c>
      <c r="E7">
        <v>2</v>
      </c>
      <c r="F7">
        <v>2</v>
      </c>
      <c r="G7">
        <v>4</v>
      </c>
      <c r="H7">
        <v>4</v>
      </c>
      <c r="I7">
        <v>4</v>
      </c>
      <c r="J7">
        <v>4</v>
      </c>
      <c r="K7">
        <v>5</v>
      </c>
      <c r="L7">
        <v>5</v>
      </c>
      <c r="O7" s="41">
        <v>5</v>
      </c>
      <c r="P7">
        <f>COUNTIFS($A$2:$A$137,"5",$G$2:$G$137,"1")</f>
        <v>0</v>
      </c>
      <c r="Q7">
        <f>COUNTIFS($A$2:$A$137,"5",$G$2:$G$137,"2")</f>
        <v>4</v>
      </c>
      <c r="R7">
        <f>COUNTIFS($A$2:$A$137,"5",$G$2:$G$137,"3")</f>
        <v>12</v>
      </c>
      <c r="S7">
        <f>COUNTIFS($A$2:$A$137,"5",$G$2:$G$137,"4")</f>
        <v>12</v>
      </c>
      <c r="T7">
        <f>COUNTIFS($A$2:$A$137,"5",$G$2:$G$137,"5")</f>
        <v>7</v>
      </c>
      <c r="U7">
        <f>COUNTIFS($A$2:$A$137,"5",$G$2:$G$137,"6")</f>
        <v>0</v>
      </c>
      <c r="V7" s="45">
        <f>SUM(P7:U7)</f>
        <v>35</v>
      </c>
    </row>
    <row r="8" spans="1:22" ht="15.6" x14ac:dyDescent="0.3">
      <c r="A8">
        <v>5</v>
      </c>
      <c r="B8">
        <v>2</v>
      </c>
      <c r="C8">
        <v>2</v>
      </c>
      <c r="D8">
        <v>5</v>
      </c>
      <c r="E8">
        <v>2</v>
      </c>
      <c r="F8">
        <v>2</v>
      </c>
      <c r="G8">
        <v>4</v>
      </c>
      <c r="H8">
        <v>4</v>
      </c>
      <c r="I8">
        <v>5</v>
      </c>
      <c r="J8">
        <v>4</v>
      </c>
      <c r="K8">
        <v>4</v>
      </c>
      <c r="L8">
        <v>4</v>
      </c>
      <c r="O8" s="41">
        <v>6</v>
      </c>
      <c r="P8">
        <f>COUNTIFS($A$2:$A$137,"6",$G$2:$G$137,"1")</f>
        <v>0</v>
      </c>
      <c r="Q8">
        <f>COUNTIFS($A$2:$A$137,"6",$G$2:$G$137,"2")</f>
        <v>2</v>
      </c>
      <c r="R8">
        <f>COUNTIFS($A$2:$A$137,"6",$G$2:$G$137,"3")</f>
        <v>1</v>
      </c>
      <c r="S8">
        <f>COUNTIFS($A$2:$A$137,"6",$G$2:$G$137,"4")</f>
        <v>4</v>
      </c>
      <c r="T8">
        <f>COUNTIFS($A$2:$A$137,"6",$G$2:$G$137,"5")</f>
        <v>3</v>
      </c>
      <c r="U8">
        <f>COUNTIFS($A$2:$A$137,"6",$G$2:$G$137,"6")</f>
        <v>0</v>
      </c>
      <c r="V8" s="45">
        <f>SUM(P8:U8)</f>
        <v>10</v>
      </c>
    </row>
    <row r="9" spans="1:22" ht="15.6" x14ac:dyDescent="0.3">
      <c r="A9">
        <v>6</v>
      </c>
      <c r="B9">
        <v>2</v>
      </c>
      <c r="C9">
        <v>2</v>
      </c>
      <c r="D9">
        <v>5</v>
      </c>
      <c r="E9">
        <v>3</v>
      </c>
      <c r="F9">
        <v>2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P9" s="45">
        <f>SUM(P3:P8)</f>
        <v>2</v>
      </c>
      <c r="Q9" s="45">
        <f t="shared" ref="Q9:V9" si="0">SUM(Q3:Q8)</f>
        <v>9</v>
      </c>
      <c r="R9" s="45">
        <f t="shared" si="0"/>
        <v>39</v>
      </c>
      <c r="S9" s="45">
        <f t="shared" si="0"/>
        <v>54</v>
      </c>
      <c r="T9" s="45">
        <f t="shared" si="0"/>
        <v>32</v>
      </c>
      <c r="U9" s="45">
        <f t="shared" si="0"/>
        <v>0</v>
      </c>
      <c r="V9" s="45">
        <f t="shared" si="0"/>
        <v>136</v>
      </c>
    </row>
    <row r="10" spans="1:22" x14ac:dyDescent="0.3">
      <c r="A10">
        <v>6</v>
      </c>
      <c r="B10">
        <v>2</v>
      </c>
      <c r="C10">
        <v>1</v>
      </c>
      <c r="D10">
        <v>5</v>
      </c>
      <c r="E10">
        <v>2</v>
      </c>
      <c r="F10">
        <v>1</v>
      </c>
      <c r="G10">
        <v>5</v>
      </c>
      <c r="H10">
        <v>3</v>
      </c>
      <c r="I10">
        <v>2</v>
      </c>
      <c r="J10">
        <v>3</v>
      </c>
      <c r="K10">
        <v>5</v>
      </c>
      <c r="L10">
        <v>5</v>
      </c>
    </row>
    <row r="11" spans="1:22" x14ac:dyDescent="0.3">
      <c r="A11">
        <v>5</v>
      </c>
      <c r="B11">
        <v>2</v>
      </c>
      <c r="C11">
        <v>2</v>
      </c>
      <c r="D11">
        <v>5</v>
      </c>
      <c r="E11">
        <v>4</v>
      </c>
      <c r="F11">
        <v>2</v>
      </c>
      <c r="G11">
        <v>4</v>
      </c>
      <c r="H11">
        <v>4</v>
      </c>
      <c r="I11">
        <v>4</v>
      </c>
      <c r="J11">
        <v>4</v>
      </c>
      <c r="K11">
        <v>4</v>
      </c>
      <c r="L11">
        <v>4</v>
      </c>
    </row>
    <row r="12" spans="1:22" x14ac:dyDescent="0.3">
      <c r="A12">
        <v>3</v>
      </c>
      <c r="B12">
        <v>2</v>
      </c>
      <c r="C12">
        <v>2</v>
      </c>
      <c r="D12">
        <v>3</v>
      </c>
      <c r="E12">
        <v>2</v>
      </c>
      <c r="F12">
        <v>2</v>
      </c>
      <c r="G12">
        <v>4</v>
      </c>
      <c r="H12">
        <v>5</v>
      </c>
      <c r="I12">
        <v>5</v>
      </c>
      <c r="J12">
        <v>5</v>
      </c>
      <c r="K12">
        <v>4</v>
      </c>
      <c r="L12">
        <v>4</v>
      </c>
    </row>
    <row r="13" spans="1:22" x14ac:dyDescent="0.3">
      <c r="A13">
        <v>4</v>
      </c>
      <c r="B13">
        <v>2</v>
      </c>
      <c r="C13">
        <v>1</v>
      </c>
      <c r="D13">
        <v>2</v>
      </c>
      <c r="E13">
        <v>1</v>
      </c>
      <c r="F13">
        <v>3</v>
      </c>
      <c r="G13">
        <v>5</v>
      </c>
      <c r="H13">
        <v>4</v>
      </c>
      <c r="I13">
        <v>5</v>
      </c>
      <c r="J13">
        <v>5</v>
      </c>
      <c r="K13">
        <v>4</v>
      </c>
      <c r="L13">
        <v>5</v>
      </c>
    </row>
    <row r="14" spans="1:22" x14ac:dyDescent="0.3">
      <c r="A14">
        <v>4</v>
      </c>
      <c r="B14">
        <v>2</v>
      </c>
      <c r="C14">
        <v>2</v>
      </c>
      <c r="D14">
        <v>2</v>
      </c>
      <c r="E14">
        <v>3</v>
      </c>
      <c r="F14">
        <v>2</v>
      </c>
      <c r="G14">
        <v>4</v>
      </c>
      <c r="H14">
        <v>4</v>
      </c>
      <c r="I14">
        <v>5</v>
      </c>
      <c r="J14">
        <v>4</v>
      </c>
      <c r="K14">
        <v>5</v>
      </c>
      <c r="L14">
        <v>4</v>
      </c>
    </row>
    <row r="15" spans="1:22" x14ac:dyDescent="0.3">
      <c r="A15">
        <v>4</v>
      </c>
      <c r="B15">
        <v>2</v>
      </c>
      <c r="C15">
        <v>1</v>
      </c>
      <c r="D15">
        <v>1</v>
      </c>
      <c r="E15">
        <v>1</v>
      </c>
      <c r="F15">
        <v>2</v>
      </c>
      <c r="G15">
        <v>2</v>
      </c>
      <c r="H15">
        <v>4</v>
      </c>
      <c r="I15">
        <v>4</v>
      </c>
      <c r="J15">
        <v>4</v>
      </c>
      <c r="K15">
        <v>2</v>
      </c>
      <c r="L15">
        <v>4</v>
      </c>
    </row>
    <row r="16" spans="1:22" x14ac:dyDescent="0.3">
      <c r="A16">
        <v>5</v>
      </c>
      <c r="B16">
        <v>2</v>
      </c>
      <c r="C16">
        <v>1</v>
      </c>
      <c r="D16">
        <v>5</v>
      </c>
      <c r="E16">
        <v>1</v>
      </c>
      <c r="F16">
        <v>2</v>
      </c>
      <c r="G16">
        <v>4</v>
      </c>
      <c r="H16">
        <v>4</v>
      </c>
      <c r="I16">
        <v>5</v>
      </c>
      <c r="J16">
        <v>4</v>
      </c>
      <c r="K16">
        <v>3</v>
      </c>
      <c r="L16">
        <v>4</v>
      </c>
    </row>
    <row r="17" spans="1:22" x14ac:dyDescent="0.3">
      <c r="A17">
        <v>3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  <c r="I17">
        <v>4</v>
      </c>
      <c r="J17">
        <v>4</v>
      </c>
      <c r="K17">
        <v>3</v>
      </c>
      <c r="L17">
        <v>4</v>
      </c>
      <c r="P17" s="106" t="s">
        <v>198</v>
      </c>
      <c r="Q17" s="106"/>
      <c r="R17" s="106"/>
      <c r="S17" s="106"/>
      <c r="T17" s="106"/>
      <c r="U17" s="106"/>
    </row>
    <row r="18" spans="1:22" ht="15.6" x14ac:dyDescent="0.3">
      <c r="A18">
        <v>5</v>
      </c>
      <c r="B18">
        <v>2</v>
      </c>
      <c r="C18">
        <v>2</v>
      </c>
      <c r="D18">
        <v>4</v>
      </c>
      <c r="E18">
        <v>2</v>
      </c>
      <c r="F18">
        <v>1</v>
      </c>
      <c r="G18">
        <v>3</v>
      </c>
      <c r="H18">
        <v>4</v>
      </c>
      <c r="I18">
        <v>3</v>
      </c>
      <c r="J18">
        <v>5</v>
      </c>
      <c r="K18">
        <v>2</v>
      </c>
      <c r="L18">
        <v>4</v>
      </c>
      <c r="O18" s="11" t="s">
        <v>142</v>
      </c>
      <c r="P18" s="10">
        <v>1</v>
      </c>
      <c r="Q18" s="10">
        <v>2</v>
      </c>
      <c r="R18" s="10">
        <v>3</v>
      </c>
      <c r="S18" s="10">
        <v>4</v>
      </c>
      <c r="T18" s="10">
        <v>5</v>
      </c>
      <c r="U18" s="10">
        <v>6</v>
      </c>
    </row>
    <row r="19" spans="1:22" x14ac:dyDescent="0.3">
      <c r="A19">
        <v>4</v>
      </c>
      <c r="B19">
        <v>2</v>
      </c>
      <c r="C19">
        <v>3</v>
      </c>
      <c r="D19">
        <v>3</v>
      </c>
      <c r="E19">
        <v>4</v>
      </c>
      <c r="F19">
        <v>2</v>
      </c>
      <c r="G19">
        <v>4</v>
      </c>
      <c r="H19">
        <v>4</v>
      </c>
      <c r="I19">
        <v>5</v>
      </c>
      <c r="J19">
        <v>5</v>
      </c>
      <c r="K19">
        <v>5</v>
      </c>
      <c r="L19">
        <v>4</v>
      </c>
      <c r="O19" s="41">
        <v>1</v>
      </c>
      <c r="P19">
        <f>COUNTIFS($A$2:$A$137,"1",$H$2:$H$137,"1")</f>
        <v>0</v>
      </c>
      <c r="Q19">
        <f>COUNTIFS($A$2:$A$137,"1",$H$2:$H$137,"2")</f>
        <v>0</v>
      </c>
      <c r="R19">
        <f>COUNTIFS($A$2:$A$137,"1",$H$2:$H$137,"3")</f>
        <v>0</v>
      </c>
      <c r="S19">
        <f>COUNTIFS($A$2:$A$137,"1",$H$2:$H$137,"4")</f>
        <v>0</v>
      </c>
      <c r="T19">
        <f>COUNTIFS($A$2:$A$137,"1",$H$2:$H$137,"5")</f>
        <v>0</v>
      </c>
      <c r="U19">
        <f>COUNTIFS($A$2:$A$137,"1",$H$2:$H$137,"6")</f>
        <v>0</v>
      </c>
      <c r="V19" s="39">
        <f t="shared" ref="V19:V24" si="1">SUM(P19:U19)</f>
        <v>0</v>
      </c>
    </row>
    <row r="20" spans="1:22" ht="15.6" x14ac:dyDescent="0.3">
      <c r="A20">
        <v>5</v>
      </c>
      <c r="B20">
        <v>2</v>
      </c>
      <c r="C20">
        <v>3</v>
      </c>
      <c r="D20">
        <v>5</v>
      </c>
      <c r="E20">
        <v>4</v>
      </c>
      <c r="F20">
        <v>2</v>
      </c>
      <c r="G20">
        <v>2</v>
      </c>
      <c r="H20">
        <v>4</v>
      </c>
      <c r="I20">
        <v>4</v>
      </c>
      <c r="J20">
        <v>4</v>
      </c>
      <c r="K20">
        <v>4</v>
      </c>
      <c r="L20">
        <v>4</v>
      </c>
      <c r="O20" s="41">
        <v>2</v>
      </c>
      <c r="P20">
        <f>COUNTIFS($A$2:$A$137,"2",$H$2:$H$137,"1")</f>
        <v>0</v>
      </c>
      <c r="Q20">
        <f>COUNTIFS($A$2:$A$137,"2",$H$2:$H$137,"2")</f>
        <v>1</v>
      </c>
      <c r="R20">
        <f>COUNTIFS($A$2:$A$137,"2",$H$2:$H$137,"3")</f>
        <v>2</v>
      </c>
      <c r="S20">
        <f>COUNTIFS($A$2:$A$137,"2",$H$2:$H$137,"4")</f>
        <v>13</v>
      </c>
      <c r="T20">
        <f>COUNTIFS($A$2:$A$137,"2",$H$2:$H$137,"5")</f>
        <v>8</v>
      </c>
      <c r="U20">
        <f>COUNTIFS($A$2:$A$137,"2",$H$2:$H$137,"6")</f>
        <v>0</v>
      </c>
      <c r="V20" s="45">
        <f t="shared" si="1"/>
        <v>24</v>
      </c>
    </row>
    <row r="21" spans="1:22" ht="15.6" x14ac:dyDescent="0.3">
      <c r="A21">
        <v>5</v>
      </c>
      <c r="B21">
        <v>2</v>
      </c>
      <c r="C21">
        <v>1</v>
      </c>
      <c r="D21">
        <v>5</v>
      </c>
      <c r="E21">
        <v>1</v>
      </c>
      <c r="F21">
        <v>2</v>
      </c>
      <c r="G21">
        <v>3</v>
      </c>
      <c r="H21">
        <v>4</v>
      </c>
      <c r="I21">
        <v>5</v>
      </c>
      <c r="J21">
        <v>5</v>
      </c>
      <c r="K21">
        <v>5</v>
      </c>
      <c r="L21">
        <v>5</v>
      </c>
      <c r="O21" s="41">
        <v>3</v>
      </c>
      <c r="P21">
        <f>COUNTIFS($A$2:$A$137,"3",$H$2:$H$137,"1")</f>
        <v>0</v>
      </c>
      <c r="Q21">
        <f>COUNTIFS($A$2:$A$137,"3",$H$2:$H$137,"2")</f>
        <v>1</v>
      </c>
      <c r="R21">
        <f>COUNTIFS($A$2:$A$137,"3",$H$2:$H$137,"3")</f>
        <v>6</v>
      </c>
      <c r="S21">
        <f>COUNTIFS($A$2:$A$137,"3",$H$2:$H$137,"4")</f>
        <v>22</v>
      </c>
      <c r="T21">
        <f>COUNTIFS($A$2:$A$137,"3",$H$2:$H$137,"5")</f>
        <v>16</v>
      </c>
      <c r="U21">
        <f>COUNTIFS($A$2:$A$137,"3",$H$2:$H$137,"6")</f>
        <v>0</v>
      </c>
      <c r="V21" s="45">
        <f t="shared" si="1"/>
        <v>45</v>
      </c>
    </row>
    <row r="22" spans="1:22" ht="15.6" x14ac:dyDescent="0.3">
      <c r="A22">
        <v>3</v>
      </c>
      <c r="B22">
        <v>2</v>
      </c>
      <c r="C22">
        <v>2</v>
      </c>
      <c r="D22">
        <v>3</v>
      </c>
      <c r="E22">
        <v>3</v>
      </c>
      <c r="F22">
        <v>2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O22" s="41">
        <v>4</v>
      </c>
      <c r="P22">
        <f>COUNTIFS($A$2:$A$137,"4",$H$2:$H$137,"1")</f>
        <v>2</v>
      </c>
      <c r="Q22">
        <f>COUNTIFS($A$2:$A$137,"4",$H$2:$H$137,"2")</f>
        <v>0</v>
      </c>
      <c r="R22">
        <f>COUNTIFS($A$2:$A$137,"4",$H$2:$H$137,"3")</f>
        <v>1</v>
      </c>
      <c r="S22">
        <f>COUNTIFS($A$2:$A$137,"4",$H$2:$H$137,"4")</f>
        <v>12</v>
      </c>
      <c r="T22">
        <f>COUNTIFS($A$2:$A$137,"4",$H$2:$H$137,"5")</f>
        <v>7</v>
      </c>
      <c r="U22">
        <f>COUNTIFS($A$2:$A$137,"4",$H$2:$H$137,"6")</f>
        <v>0</v>
      </c>
      <c r="V22" s="45">
        <f t="shared" si="1"/>
        <v>22</v>
      </c>
    </row>
    <row r="23" spans="1:22" ht="15.6" x14ac:dyDescent="0.3">
      <c r="A23">
        <v>4</v>
      </c>
      <c r="B23">
        <v>2</v>
      </c>
      <c r="C23">
        <v>2</v>
      </c>
      <c r="D23">
        <v>4</v>
      </c>
      <c r="E23">
        <v>2</v>
      </c>
      <c r="F23">
        <v>2</v>
      </c>
      <c r="G23">
        <v>5</v>
      </c>
      <c r="H23">
        <v>5</v>
      </c>
      <c r="I23">
        <v>5</v>
      </c>
      <c r="J23">
        <v>5</v>
      </c>
      <c r="K23">
        <v>5</v>
      </c>
      <c r="L23">
        <v>5</v>
      </c>
      <c r="O23" s="41">
        <v>5</v>
      </c>
      <c r="P23">
        <f>COUNTIFS($A$2:$A$137,"5",$H$2:$H$137,"1")</f>
        <v>0</v>
      </c>
      <c r="Q23">
        <f>COUNTIFS($A$2:$A$137,"5",$H$2:$H$137,"2")</f>
        <v>1</v>
      </c>
      <c r="R23">
        <f>COUNTIFS($A$2:$A$137,"5",$H$2:$H$137,"3")</f>
        <v>3</v>
      </c>
      <c r="S23">
        <f>COUNTIFS($A$2:$A$137,"5",$H$2:$H$137,"4")</f>
        <v>15</v>
      </c>
      <c r="T23">
        <f>COUNTIFS($A$2:$A$137,"5",$H$2:$H$137,"5")</f>
        <v>16</v>
      </c>
      <c r="U23">
        <f>COUNTIFS($A$2:$A$137,"5",$H$2:$H$137,"6")</f>
        <v>0</v>
      </c>
      <c r="V23" s="45">
        <f t="shared" si="1"/>
        <v>35</v>
      </c>
    </row>
    <row r="24" spans="1:22" ht="15.6" x14ac:dyDescent="0.3">
      <c r="A24">
        <v>4</v>
      </c>
      <c r="B24">
        <v>2</v>
      </c>
      <c r="C24">
        <v>2</v>
      </c>
      <c r="D24">
        <v>4</v>
      </c>
      <c r="E24">
        <v>2</v>
      </c>
      <c r="F24">
        <v>3</v>
      </c>
      <c r="G24">
        <v>5</v>
      </c>
      <c r="H24">
        <v>4</v>
      </c>
      <c r="I24">
        <v>5</v>
      </c>
      <c r="J24">
        <v>4</v>
      </c>
      <c r="K24">
        <v>5</v>
      </c>
      <c r="L24">
        <v>5</v>
      </c>
      <c r="O24" s="41">
        <v>6</v>
      </c>
      <c r="P24">
        <f>COUNTIFS($A$2:$A$137,"6",$H$2:$H$137,"1")</f>
        <v>0</v>
      </c>
      <c r="Q24">
        <f>COUNTIFS($A$2:$A$137,"6",$H$2:$H$137,"2")</f>
        <v>0</v>
      </c>
      <c r="R24">
        <f>COUNTIFS($A$2:$A$137,"6",$H$2:$H$137,"3")</f>
        <v>1</v>
      </c>
      <c r="S24">
        <f>COUNTIFS($A$2:$A$137,"6",$H$2:$H$137,"4")</f>
        <v>5</v>
      </c>
      <c r="T24">
        <f>COUNTIFS($A$2:$A$137,"6",$H$2:$H$137,"5")</f>
        <v>4</v>
      </c>
      <c r="U24">
        <f>COUNTIFS($A$2:$A$137,"6",$H$2:$H$137,"6")</f>
        <v>0</v>
      </c>
      <c r="V24" s="45">
        <f t="shared" si="1"/>
        <v>10</v>
      </c>
    </row>
    <row r="25" spans="1:22" ht="15.6" x14ac:dyDescent="0.3">
      <c r="A25">
        <v>2</v>
      </c>
      <c r="B25">
        <v>2</v>
      </c>
      <c r="C25">
        <v>2</v>
      </c>
      <c r="D25">
        <v>1</v>
      </c>
      <c r="E25">
        <v>2</v>
      </c>
      <c r="F25">
        <v>3</v>
      </c>
      <c r="G25">
        <v>4</v>
      </c>
      <c r="H25">
        <v>4</v>
      </c>
      <c r="I25">
        <v>5</v>
      </c>
      <c r="J25">
        <v>4</v>
      </c>
      <c r="K25">
        <v>5</v>
      </c>
      <c r="L25">
        <v>3</v>
      </c>
      <c r="P25" s="45">
        <f t="shared" ref="P25:V25" si="2">SUM(P19:P24)</f>
        <v>2</v>
      </c>
      <c r="Q25" s="45">
        <f t="shared" si="2"/>
        <v>3</v>
      </c>
      <c r="R25" s="45">
        <f t="shared" si="2"/>
        <v>13</v>
      </c>
      <c r="S25" s="45">
        <f t="shared" si="2"/>
        <v>67</v>
      </c>
      <c r="T25" s="45">
        <f t="shared" si="2"/>
        <v>51</v>
      </c>
      <c r="U25" s="45">
        <f t="shared" si="2"/>
        <v>0</v>
      </c>
      <c r="V25" s="45">
        <f t="shared" si="2"/>
        <v>136</v>
      </c>
    </row>
    <row r="26" spans="1:22" x14ac:dyDescent="0.3">
      <c r="A26">
        <v>3</v>
      </c>
      <c r="B26">
        <v>2</v>
      </c>
      <c r="C26">
        <v>2</v>
      </c>
      <c r="D26">
        <v>2</v>
      </c>
      <c r="E26">
        <v>2</v>
      </c>
      <c r="F26">
        <v>3</v>
      </c>
      <c r="G26">
        <v>4</v>
      </c>
      <c r="H26">
        <v>5</v>
      </c>
      <c r="I26">
        <v>4</v>
      </c>
      <c r="J26">
        <v>5</v>
      </c>
      <c r="K26">
        <v>5</v>
      </c>
      <c r="L26">
        <v>5</v>
      </c>
    </row>
    <row r="27" spans="1:22" x14ac:dyDescent="0.3">
      <c r="A27">
        <v>3</v>
      </c>
      <c r="B27">
        <v>2</v>
      </c>
      <c r="C27">
        <v>2</v>
      </c>
      <c r="D27">
        <v>2</v>
      </c>
      <c r="E27">
        <v>2</v>
      </c>
      <c r="F27">
        <v>2</v>
      </c>
      <c r="G27">
        <v>4</v>
      </c>
      <c r="H27">
        <v>3</v>
      </c>
      <c r="I27">
        <v>4</v>
      </c>
      <c r="J27">
        <v>4</v>
      </c>
      <c r="K27">
        <v>5</v>
      </c>
      <c r="L27">
        <v>5</v>
      </c>
    </row>
    <row r="28" spans="1:22" x14ac:dyDescent="0.3">
      <c r="A28">
        <v>3</v>
      </c>
      <c r="B28">
        <v>2</v>
      </c>
      <c r="C28">
        <v>2</v>
      </c>
      <c r="D28">
        <v>2</v>
      </c>
      <c r="E28">
        <v>4</v>
      </c>
      <c r="F28">
        <v>3</v>
      </c>
      <c r="G28">
        <v>4</v>
      </c>
      <c r="H28">
        <v>4</v>
      </c>
      <c r="I28">
        <v>5</v>
      </c>
      <c r="J28">
        <v>5</v>
      </c>
      <c r="K28">
        <v>5</v>
      </c>
      <c r="L28">
        <v>5</v>
      </c>
    </row>
    <row r="29" spans="1:22" x14ac:dyDescent="0.3">
      <c r="A29">
        <v>3</v>
      </c>
      <c r="B29">
        <v>2</v>
      </c>
      <c r="C29">
        <v>1</v>
      </c>
      <c r="D29">
        <v>2</v>
      </c>
      <c r="E29">
        <v>1</v>
      </c>
      <c r="F29">
        <v>2</v>
      </c>
      <c r="G29">
        <v>4</v>
      </c>
      <c r="H29">
        <v>5</v>
      </c>
      <c r="I29">
        <v>1</v>
      </c>
      <c r="J29">
        <v>3</v>
      </c>
      <c r="K29">
        <v>4</v>
      </c>
      <c r="L29">
        <v>4</v>
      </c>
    </row>
    <row r="30" spans="1:22" x14ac:dyDescent="0.3">
      <c r="A30">
        <v>3</v>
      </c>
      <c r="B30">
        <v>2</v>
      </c>
      <c r="C30">
        <v>2</v>
      </c>
      <c r="D30">
        <v>2</v>
      </c>
      <c r="E30">
        <v>2</v>
      </c>
      <c r="F30">
        <v>2</v>
      </c>
      <c r="G30">
        <v>3</v>
      </c>
      <c r="H30">
        <v>4</v>
      </c>
      <c r="I30">
        <v>5</v>
      </c>
      <c r="J30">
        <v>5</v>
      </c>
      <c r="K30">
        <v>4</v>
      </c>
      <c r="L30">
        <v>5</v>
      </c>
    </row>
    <row r="31" spans="1:22" x14ac:dyDescent="0.3">
      <c r="A31">
        <v>5</v>
      </c>
      <c r="B31">
        <v>2</v>
      </c>
      <c r="C31">
        <v>2</v>
      </c>
      <c r="D31">
        <v>5</v>
      </c>
      <c r="E31">
        <v>2</v>
      </c>
      <c r="F31">
        <v>2</v>
      </c>
      <c r="G31">
        <v>2</v>
      </c>
      <c r="H31">
        <v>4</v>
      </c>
      <c r="I31">
        <v>4</v>
      </c>
      <c r="J31">
        <v>4</v>
      </c>
      <c r="K31">
        <v>1</v>
      </c>
      <c r="L31">
        <v>5</v>
      </c>
    </row>
    <row r="32" spans="1:22" x14ac:dyDescent="0.3">
      <c r="A32">
        <v>6</v>
      </c>
      <c r="B32">
        <v>2</v>
      </c>
      <c r="C32">
        <v>1</v>
      </c>
      <c r="D32">
        <v>5</v>
      </c>
      <c r="E32">
        <v>1</v>
      </c>
      <c r="F32">
        <v>1</v>
      </c>
      <c r="G32">
        <v>5</v>
      </c>
      <c r="H32">
        <v>5</v>
      </c>
      <c r="I32">
        <v>4</v>
      </c>
      <c r="J32">
        <v>5</v>
      </c>
      <c r="K32">
        <v>4</v>
      </c>
      <c r="L32">
        <v>5</v>
      </c>
    </row>
    <row r="33" spans="1:12" x14ac:dyDescent="0.3">
      <c r="A33">
        <v>3</v>
      </c>
      <c r="B33">
        <v>2</v>
      </c>
      <c r="C33">
        <v>2</v>
      </c>
      <c r="D33">
        <v>2</v>
      </c>
      <c r="E33">
        <v>2</v>
      </c>
      <c r="F33">
        <v>2</v>
      </c>
      <c r="G33">
        <v>4</v>
      </c>
      <c r="H33">
        <v>5</v>
      </c>
      <c r="I33">
        <v>5</v>
      </c>
      <c r="J33">
        <v>3</v>
      </c>
      <c r="K33">
        <v>3</v>
      </c>
      <c r="L33">
        <v>3</v>
      </c>
    </row>
    <row r="34" spans="1:12" x14ac:dyDescent="0.3">
      <c r="A34">
        <v>3</v>
      </c>
      <c r="B34">
        <v>2</v>
      </c>
      <c r="C34">
        <v>2</v>
      </c>
      <c r="D34">
        <v>1</v>
      </c>
      <c r="E34">
        <v>2</v>
      </c>
      <c r="F34">
        <v>2</v>
      </c>
      <c r="G34">
        <v>5</v>
      </c>
      <c r="H34">
        <v>5</v>
      </c>
      <c r="I34">
        <v>4</v>
      </c>
      <c r="J34">
        <v>4</v>
      </c>
      <c r="K34">
        <v>4</v>
      </c>
      <c r="L34">
        <v>5</v>
      </c>
    </row>
    <row r="35" spans="1:12" x14ac:dyDescent="0.3">
      <c r="A35">
        <v>5</v>
      </c>
      <c r="B35">
        <v>2</v>
      </c>
      <c r="C35">
        <v>3</v>
      </c>
      <c r="D35">
        <v>5</v>
      </c>
      <c r="E35">
        <v>4</v>
      </c>
      <c r="F35">
        <v>1</v>
      </c>
      <c r="G35">
        <v>3</v>
      </c>
      <c r="H35">
        <v>5</v>
      </c>
      <c r="I35">
        <v>5</v>
      </c>
      <c r="J35">
        <v>5</v>
      </c>
      <c r="K35">
        <v>5</v>
      </c>
      <c r="L35">
        <v>5</v>
      </c>
    </row>
    <row r="36" spans="1:12" x14ac:dyDescent="0.3">
      <c r="A36">
        <v>5</v>
      </c>
      <c r="B36">
        <v>2</v>
      </c>
      <c r="C36">
        <v>2</v>
      </c>
      <c r="D36">
        <v>5</v>
      </c>
      <c r="E36">
        <v>2</v>
      </c>
      <c r="F36">
        <v>2</v>
      </c>
      <c r="G36">
        <v>3</v>
      </c>
      <c r="H36">
        <v>4</v>
      </c>
      <c r="I36">
        <v>4</v>
      </c>
      <c r="J36">
        <v>4</v>
      </c>
      <c r="K36">
        <v>4</v>
      </c>
      <c r="L36">
        <v>3</v>
      </c>
    </row>
    <row r="37" spans="1:12" x14ac:dyDescent="0.3">
      <c r="A37">
        <v>5</v>
      </c>
      <c r="B37">
        <v>2</v>
      </c>
      <c r="C37">
        <v>2</v>
      </c>
      <c r="D37">
        <v>4</v>
      </c>
      <c r="E37">
        <v>4</v>
      </c>
      <c r="F37">
        <v>1</v>
      </c>
      <c r="G37">
        <v>3</v>
      </c>
      <c r="H37">
        <v>5</v>
      </c>
      <c r="I37">
        <v>4</v>
      </c>
      <c r="J37">
        <v>4</v>
      </c>
      <c r="K37">
        <v>4</v>
      </c>
      <c r="L37">
        <v>5</v>
      </c>
    </row>
    <row r="38" spans="1:12" x14ac:dyDescent="0.3">
      <c r="A38">
        <v>3</v>
      </c>
      <c r="B38">
        <v>2</v>
      </c>
      <c r="C38">
        <v>1</v>
      </c>
      <c r="D38">
        <v>2</v>
      </c>
      <c r="E38">
        <v>1</v>
      </c>
      <c r="F38">
        <v>2</v>
      </c>
      <c r="G38">
        <v>2</v>
      </c>
      <c r="H38">
        <v>4</v>
      </c>
      <c r="I38">
        <v>4</v>
      </c>
      <c r="J38">
        <v>4</v>
      </c>
      <c r="K38">
        <v>4</v>
      </c>
      <c r="L38">
        <v>5</v>
      </c>
    </row>
    <row r="39" spans="1:12" x14ac:dyDescent="0.3">
      <c r="A39">
        <v>6</v>
      </c>
      <c r="B39">
        <v>2</v>
      </c>
      <c r="C39">
        <v>1</v>
      </c>
      <c r="D39">
        <v>5</v>
      </c>
      <c r="E39">
        <v>2</v>
      </c>
      <c r="F39">
        <v>2</v>
      </c>
      <c r="G39">
        <v>4</v>
      </c>
      <c r="H39">
        <v>4</v>
      </c>
      <c r="I39">
        <v>5</v>
      </c>
      <c r="J39">
        <v>4</v>
      </c>
      <c r="K39">
        <v>5</v>
      </c>
      <c r="L39">
        <v>4</v>
      </c>
    </row>
    <row r="40" spans="1:12" x14ac:dyDescent="0.3">
      <c r="A40">
        <v>5</v>
      </c>
      <c r="B40">
        <v>2</v>
      </c>
      <c r="C40">
        <v>3</v>
      </c>
      <c r="D40">
        <v>5</v>
      </c>
      <c r="E40">
        <v>4</v>
      </c>
      <c r="F40">
        <v>2</v>
      </c>
      <c r="G40">
        <v>4</v>
      </c>
      <c r="H40">
        <v>5</v>
      </c>
      <c r="I40">
        <v>5</v>
      </c>
      <c r="J40">
        <v>5</v>
      </c>
      <c r="K40">
        <v>5</v>
      </c>
      <c r="L40">
        <v>5</v>
      </c>
    </row>
    <row r="41" spans="1:12" x14ac:dyDescent="0.3">
      <c r="A41">
        <v>3</v>
      </c>
      <c r="B41">
        <v>2</v>
      </c>
      <c r="C41">
        <v>2</v>
      </c>
      <c r="D41">
        <v>2</v>
      </c>
      <c r="E41">
        <v>2</v>
      </c>
      <c r="F41">
        <v>3</v>
      </c>
      <c r="G41">
        <v>5</v>
      </c>
      <c r="H41">
        <v>5</v>
      </c>
      <c r="I41">
        <v>5</v>
      </c>
      <c r="J41">
        <v>4</v>
      </c>
      <c r="K41">
        <v>3</v>
      </c>
      <c r="L41">
        <v>4</v>
      </c>
    </row>
    <row r="42" spans="1:12" x14ac:dyDescent="0.3">
      <c r="A42">
        <v>6</v>
      </c>
      <c r="B42">
        <v>2</v>
      </c>
      <c r="C42">
        <v>1</v>
      </c>
      <c r="D42">
        <v>5</v>
      </c>
      <c r="E42">
        <v>1</v>
      </c>
      <c r="F42">
        <v>1</v>
      </c>
      <c r="G42">
        <v>2</v>
      </c>
      <c r="H42">
        <v>4</v>
      </c>
      <c r="I42">
        <v>4</v>
      </c>
      <c r="J42">
        <v>4</v>
      </c>
      <c r="K42">
        <v>2</v>
      </c>
      <c r="L42">
        <v>2</v>
      </c>
    </row>
    <row r="43" spans="1:12" x14ac:dyDescent="0.3">
      <c r="A43">
        <v>5</v>
      </c>
      <c r="B43">
        <v>2</v>
      </c>
      <c r="C43">
        <v>1</v>
      </c>
      <c r="D43">
        <v>5</v>
      </c>
      <c r="E43">
        <v>1</v>
      </c>
      <c r="F43">
        <v>2</v>
      </c>
      <c r="G43">
        <v>4</v>
      </c>
      <c r="H43">
        <v>2</v>
      </c>
      <c r="I43">
        <v>4</v>
      </c>
      <c r="J43">
        <v>4</v>
      </c>
      <c r="K43">
        <v>4</v>
      </c>
      <c r="L43">
        <v>2</v>
      </c>
    </row>
    <row r="44" spans="1:12" x14ac:dyDescent="0.3">
      <c r="A44">
        <v>5</v>
      </c>
      <c r="B44">
        <v>1</v>
      </c>
      <c r="C44">
        <v>1</v>
      </c>
      <c r="D44">
        <v>5</v>
      </c>
      <c r="E44">
        <v>1</v>
      </c>
      <c r="F44">
        <v>2</v>
      </c>
      <c r="G44">
        <v>3</v>
      </c>
      <c r="H44">
        <v>5</v>
      </c>
      <c r="I44">
        <v>5</v>
      </c>
      <c r="J44">
        <v>5</v>
      </c>
      <c r="K44">
        <v>5</v>
      </c>
      <c r="L44">
        <v>5</v>
      </c>
    </row>
    <row r="45" spans="1:12" x14ac:dyDescent="0.3">
      <c r="A45">
        <v>5</v>
      </c>
      <c r="B45">
        <v>2</v>
      </c>
      <c r="C45">
        <v>3</v>
      </c>
      <c r="D45">
        <v>5</v>
      </c>
      <c r="E45">
        <v>3</v>
      </c>
      <c r="F45">
        <v>2</v>
      </c>
      <c r="G45">
        <v>3</v>
      </c>
      <c r="H45">
        <v>5</v>
      </c>
      <c r="I45">
        <v>5</v>
      </c>
      <c r="J45">
        <v>5</v>
      </c>
      <c r="K45">
        <v>4</v>
      </c>
      <c r="L45">
        <v>4</v>
      </c>
    </row>
    <row r="46" spans="1:12" x14ac:dyDescent="0.3">
      <c r="A46">
        <v>3</v>
      </c>
      <c r="B46">
        <v>2</v>
      </c>
      <c r="C46">
        <v>2</v>
      </c>
      <c r="D46">
        <v>3</v>
      </c>
      <c r="E46">
        <v>2</v>
      </c>
      <c r="F46">
        <v>2</v>
      </c>
      <c r="G46">
        <v>4</v>
      </c>
      <c r="H46">
        <v>5</v>
      </c>
      <c r="I46">
        <v>4</v>
      </c>
      <c r="J46">
        <v>5</v>
      </c>
      <c r="K46">
        <v>5</v>
      </c>
      <c r="L46">
        <v>5</v>
      </c>
    </row>
    <row r="47" spans="1:12" x14ac:dyDescent="0.3">
      <c r="A47">
        <v>5</v>
      </c>
      <c r="B47">
        <v>2</v>
      </c>
      <c r="C47">
        <v>3</v>
      </c>
      <c r="D47">
        <v>5</v>
      </c>
      <c r="E47">
        <v>3</v>
      </c>
      <c r="F47">
        <v>2</v>
      </c>
      <c r="G47">
        <v>4</v>
      </c>
      <c r="H47">
        <v>5</v>
      </c>
      <c r="I47">
        <v>5</v>
      </c>
      <c r="J47">
        <v>5</v>
      </c>
      <c r="K47">
        <v>3</v>
      </c>
      <c r="L47">
        <v>5</v>
      </c>
    </row>
    <row r="48" spans="1:12" x14ac:dyDescent="0.3">
      <c r="A48">
        <v>3</v>
      </c>
      <c r="B48">
        <v>2</v>
      </c>
      <c r="C48">
        <v>2</v>
      </c>
      <c r="D48">
        <v>2</v>
      </c>
      <c r="E48">
        <v>2</v>
      </c>
      <c r="F48">
        <v>2</v>
      </c>
      <c r="G48">
        <v>3</v>
      </c>
      <c r="H48">
        <v>3</v>
      </c>
      <c r="I48">
        <v>5</v>
      </c>
      <c r="J48">
        <v>4</v>
      </c>
      <c r="K48">
        <v>3</v>
      </c>
      <c r="L48">
        <v>4</v>
      </c>
    </row>
    <row r="49" spans="1:12" x14ac:dyDescent="0.3">
      <c r="A49">
        <v>2</v>
      </c>
      <c r="B49">
        <v>2</v>
      </c>
      <c r="C49">
        <v>1</v>
      </c>
      <c r="D49">
        <v>2</v>
      </c>
      <c r="E49">
        <v>1</v>
      </c>
      <c r="F49">
        <v>2</v>
      </c>
      <c r="G49">
        <v>3</v>
      </c>
      <c r="H49">
        <v>5</v>
      </c>
      <c r="I49">
        <v>5</v>
      </c>
      <c r="J49">
        <v>5</v>
      </c>
      <c r="K49">
        <v>4</v>
      </c>
      <c r="L49">
        <v>5</v>
      </c>
    </row>
    <row r="50" spans="1:12" x14ac:dyDescent="0.3">
      <c r="A50">
        <v>5</v>
      </c>
      <c r="B50">
        <v>2</v>
      </c>
      <c r="C50">
        <v>2</v>
      </c>
      <c r="D50">
        <v>5</v>
      </c>
      <c r="E50">
        <v>2</v>
      </c>
      <c r="F50">
        <v>3</v>
      </c>
      <c r="G50">
        <v>4</v>
      </c>
      <c r="H50">
        <v>4</v>
      </c>
      <c r="I50">
        <v>3</v>
      </c>
      <c r="J50">
        <v>4</v>
      </c>
      <c r="K50">
        <v>3</v>
      </c>
      <c r="L50">
        <v>4</v>
      </c>
    </row>
    <row r="51" spans="1:12" x14ac:dyDescent="0.3">
      <c r="A51">
        <v>5</v>
      </c>
      <c r="B51">
        <v>2</v>
      </c>
      <c r="C51">
        <v>1</v>
      </c>
      <c r="D51">
        <v>4</v>
      </c>
      <c r="E51">
        <v>1</v>
      </c>
      <c r="F51">
        <v>2</v>
      </c>
      <c r="G51">
        <v>3</v>
      </c>
      <c r="H51">
        <v>3</v>
      </c>
      <c r="I51">
        <v>4</v>
      </c>
      <c r="J51">
        <v>4</v>
      </c>
      <c r="K51">
        <v>3</v>
      </c>
      <c r="L51">
        <v>3</v>
      </c>
    </row>
    <row r="52" spans="1:12" x14ac:dyDescent="0.3">
      <c r="A52">
        <v>3</v>
      </c>
      <c r="B52">
        <v>2</v>
      </c>
      <c r="C52">
        <v>1</v>
      </c>
      <c r="D52">
        <v>2</v>
      </c>
      <c r="E52">
        <v>2</v>
      </c>
      <c r="F52">
        <v>2</v>
      </c>
      <c r="G52">
        <v>3</v>
      </c>
      <c r="H52">
        <v>3</v>
      </c>
      <c r="I52">
        <v>5</v>
      </c>
      <c r="J52">
        <v>4</v>
      </c>
      <c r="K52">
        <v>5</v>
      </c>
      <c r="L52">
        <v>4</v>
      </c>
    </row>
    <row r="53" spans="1:12" x14ac:dyDescent="0.3">
      <c r="A53">
        <v>3</v>
      </c>
      <c r="B53">
        <v>2</v>
      </c>
      <c r="C53">
        <v>2</v>
      </c>
      <c r="D53">
        <v>2</v>
      </c>
      <c r="E53">
        <v>2</v>
      </c>
      <c r="F53">
        <v>2</v>
      </c>
      <c r="G53">
        <v>5</v>
      </c>
      <c r="H53">
        <v>4</v>
      </c>
      <c r="I53">
        <v>5</v>
      </c>
      <c r="J53">
        <v>4</v>
      </c>
      <c r="K53">
        <v>4</v>
      </c>
      <c r="L53">
        <v>4</v>
      </c>
    </row>
    <row r="54" spans="1:12" x14ac:dyDescent="0.3">
      <c r="A54">
        <v>5</v>
      </c>
      <c r="B54">
        <v>2</v>
      </c>
      <c r="C54">
        <v>1</v>
      </c>
      <c r="D54">
        <v>4</v>
      </c>
      <c r="E54">
        <v>1</v>
      </c>
      <c r="F54">
        <v>2</v>
      </c>
      <c r="G54">
        <v>5</v>
      </c>
      <c r="H54">
        <v>5</v>
      </c>
      <c r="I54">
        <v>5</v>
      </c>
      <c r="J54">
        <v>5</v>
      </c>
      <c r="K54">
        <v>5</v>
      </c>
      <c r="L54">
        <v>5</v>
      </c>
    </row>
    <row r="55" spans="1:12" x14ac:dyDescent="0.3">
      <c r="A55">
        <v>3</v>
      </c>
      <c r="B55">
        <v>2</v>
      </c>
      <c r="C55">
        <v>1</v>
      </c>
      <c r="D55">
        <v>2</v>
      </c>
      <c r="E55">
        <v>1</v>
      </c>
      <c r="F55">
        <v>2</v>
      </c>
      <c r="G55">
        <v>4</v>
      </c>
      <c r="H55">
        <v>3</v>
      </c>
      <c r="I55">
        <v>5</v>
      </c>
      <c r="J55">
        <v>4</v>
      </c>
      <c r="K55">
        <v>4</v>
      </c>
      <c r="L55">
        <v>3</v>
      </c>
    </row>
    <row r="56" spans="1:12" x14ac:dyDescent="0.3">
      <c r="A56">
        <v>5</v>
      </c>
      <c r="B56">
        <v>2</v>
      </c>
      <c r="C56">
        <v>2</v>
      </c>
      <c r="D56">
        <v>5</v>
      </c>
      <c r="E56">
        <v>4</v>
      </c>
      <c r="F56">
        <v>2</v>
      </c>
      <c r="G56">
        <v>3</v>
      </c>
      <c r="H56">
        <v>4</v>
      </c>
      <c r="I56">
        <v>4</v>
      </c>
      <c r="J56">
        <v>4</v>
      </c>
      <c r="K56">
        <v>4</v>
      </c>
      <c r="L56">
        <v>4</v>
      </c>
    </row>
    <row r="57" spans="1:12" x14ac:dyDescent="0.3">
      <c r="A57">
        <v>3</v>
      </c>
      <c r="B57">
        <v>2</v>
      </c>
      <c r="C57">
        <v>2</v>
      </c>
      <c r="D57">
        <v>1</v>
      </c>
      <c r="E57">
        <v>2</v>
      </c>
      <c r="F57">
        <v>3</v>
      </c>
      <c r="G57">
        <v>3</v>
      </c>
      <c r="H57">
        <v>3</v>
      </c>
      <c r="I57">
        <v>5</v>
      </c>
      <c r="J57">
        <v>4</v>
      </c>
      <c r="K57">
        <v>4</v>
      </c>
      <c r="L57">
        <v>3</v>
      </c>
    </row>
    <row r="58" spans="1:12" x14ac:dyDescent="0.3">
      <c r="A58">
        <v>2</v>
      </c>
      <c r="B58">
        <v>2</v>
      </c>
      <c r="C58">
        <v>2</v>
      </c>
      <c r="D58">
        <v>1</v>
      </c>
      <c r="E58">
        <v>2</v>
      </c>
      <c r="F58">
        <v>2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</row>
    <row r="59" spans="1:12" x14ac:dyDescent="0.3">
      <c r="A59">
        <v>2</v>
      </c>
      <c r="B59">
        <v>2</v>
      </c>
      <c r="C59">
        <v>1</v>
      </c>
      <c r="D59">
        <v>2</v>
      </c>
      <c r="E59">
        <v>1</v>
      </c>
      <c r="F59">
        <v>2</v>
      </c>
      <c r="G59">
        <v>4</v>
      </c>
      <c r="H59">
        <v>3</v>
      </c>
      <c r="I59">
        <v>4</v>
      </c>
      <c r="J59">
        <v>5</v>
      </c>
      <c r="K59">
        <v>4</v>
      </c>
      <c r="L59">
        <v>4</v>
      </c>
    </row>
    <row r="60" spans="1:12" x14ac:dyDescent="0.3">
      <c r="A60">
        <v>3</v>
      </c>
      <c r="B60">
        <v>2</v>
      </c>
      <c r="C60">
        <v>2</v>
      </c>
      <c r="D60">
        <v>2</v>
      </c>
      <c r="E60">
        <v>2</v>
      </c>
      <c r="F60">
        <v>2</v>
      </c>
      <c r="G60">
        <v>5</v>
      </c>
      <c r="H60">
        <v>5</v>
      </c>
      <c r="I60">
        <v>5</v>
      </c>
      <c r="J60">
        <v>4</v>
      </c>
      <c r="K60">
        <v>4</v>
      </c>
      <c r="L60">
        <v>4</v>
      </c>
    </row>
    <row r="61" spans="1:12" x14ac:dyDescent="0.3">
      <c r="A61">
        <v>4</v>
      </c>
      <c r="B61">
        <v>2</v>
      </c>
      <c r="C61">
        <v>1</v>
      </c>
      <c r="D61">
        <v>4</v>
      </c>
      <c r="E61">
        <v>1</v>
      </c>
      <c r="F61">
        <v>2</v>
      </c>
      <c r="G61">
        <v>5</v>
      </c>
      <c r="H61">
        <v>5</v>
      </c>
      <c r="I61">
        <v>5</v>
      </c>
      <c r="J61">
        <v>4</v>
      </c>
      <c r="K61">
        <v>4</v>
      </c>
      <c r="L61">
        <v>5</v>
      </c>
    </row>
    <row r="62" spans="1:12" x14ac:dyDescent="0.3">
      <c r="A62">
        <v>5</v>
      </c>
      <c r="B62">
        <v>2</v>
      </c>
      <c r="C62">
        <v>1</v>
      </c>
      <c r="D62">
        <v>5</v>
      </c>
      <c r="E62">
        <v>1</v>
      </c>
      <c r="F62">
        <v>2</v>
      </c>
      <c r="G62">
        <v>2</v>
      </c>
      <c r="H62">
        <v>3</v>
      </c>
      <c r="I62">
        <v>3</v>
      </c>
      <c r="J62">
        <v>4</v>
      </c>
      <c r="K62">
        <v>2</v>
      </c>
      <c r="L62">
        <v>3</v>
      </c>
    </row>
    <row r="63" spans="1:12" x14ac:dyDescent="0.3">
      <c r="A63">
        <v>2</v>
      </c>
      <c r="B63">
        <v>2</v>
      </c>
      <c r="C63">
        <v>1</v>
      </c>
      <c r="D63">
        <v>2</v>
      </c>
      <c r="E63">
        <v>1</v>
      </c>
      <c r="F63">
        <v>3</v>
      </c>
      <c r="G63">
        <v>5</v>
      </c>
      <c r="H63">
        <v>5</v>
      </c>
      <c r="I63">
        <v>5</v>
      </c>
      <c r="J63">
        <v>5</v>
      </c>
      <c r="K63">
        <v>3</v>
      </c>
      <c r="L63">
        <v>1</v>
      </c>
    </row>
    <row r="64" spans="1:12" x14ac:dyDescent="0.3">
      <c r="A64">
        <v>5</v>
      </c>
      <c r="B64">
        <v>2</v>
      </c>
      <c r="C64">
        <v>3</v>
      </c>
      <c r="D64">
        <v>4</v>
      </c>
      <c r="E64">
        <v>3</v>
      </c>
      <c r="F64">
        <v>2</v>
      </c>
      <c r="G64">
        <v>3</v>
      </c>
      <c r="H64">
        <v>5</v>
      </c>
      <c r="I64">
        <v>5</v>
      </c>
      <c r="J64">
        <v>4</v>
      </c>
      <c r="K64">
        <v>5</v>
      </c>
      <c r="L64">
        <v>5</v>
      </c>
    </row>
    <row r="65" spans="1:12" x14ac:dyDescent="0.3">
      <c r="A65">
        <v>2</v>
      </c>
      <c r="B65">
        <v>2</v>
      </c>
      <c r="C65">
        <v>2</v>
      </c>
      <c r="D65">
        <v>1</v>
      </c>
      <c r="E65">
        <v>2</v>
      </c>
      <c r="F65">
        <v>2</v>
      </c>
      <c r="G65">
        <v>4</v>
      </c>
      <c r="H65">
        <v>5</v>
      </c>
      <c r="I65">
        <v>5</v>
      </c>
      <c r="J65">
        <v>5</v>
      </c>
      <c r="K65">
        <v>5</v>
      </c>
      <c r="L65">
        <v>5</v>
      </c>
    </row>
    <row r="66" spans="1:12" x14ac:dyDescent="0.3">
      <c r="A66">
        <v>2</v>
      </c>
      <c r="B66">
        <v>2</v>
      </c>
      <c r="C66">
        <v>2</v>
      </c>
      <c r="D66">
        <v>1</v>
      </c>
      <c r="E66">
        <v>2</v>
      </c>
      <c r="F66">
        <v>2</v>
      </c>
      <c r="G66">
        <v>4</v>
      </c>
      <c r="H66">
        <v>4</v>
      </c>
      <c r="I66">
        <v>4</v>
      </c>
      <c r="J66">
        <v>5</v>
      </c>
      <c r="K66">
        <v>4</v>
      </c>
      <c r="L66">
        <v>5</v>
      </c>
    </row>
    <row r="67" spans="1:12" x14ac:dyDescent="0.3">
      <c r="A67">
        <v>3</v>
      </c>
      <c r="B67">
        <v>2</v>
      </c>
      <c r="C67">
        <v>2</v>
      </c>
      <c r="D67">
        <v>2</v>
      </c>
      <c r="E67">
        <v>2</v>
      </c>
      <c r="F67">
        <v>2</v>
      </c>
      <c r="G67">
        <v>4</v>
      </c>
      <c r="H67">
        <v>5</v>
      </c>
      <c r="I67">
        <v>5</v>
      </c>
      <c r="J67">
        <v>3</v>
      </c>
      <c r="K67">
        <v>2</v>
      </c>
      <c r="L67">
        <v>3</v>
      </c>
    </row>
    <row r="68" spans="1:12" x14ac:dyDescent="0.3">
      <c r="A68">
        <v>4</v>
      </c>
      <c r="B68">
        <v>2</v>
      </c>
      <c r="C68">
        <v>2</v>
      </c>
      <c r="D68">
        <v>4</v>
      </c>
      <c r="E68">
        <v>2</v>
      </c>
      <c r="F68">
        <v>2</v>
      </c>
      <c r="G68">
        <v>3</v>
      </c>
      <c r="H68">
        <v>5</v>
      </c>
      <c r="I68">
        <v>5</v>
      </c>
      <c r="J68">
        <v>5</v>
      </c>
      <c r="K68">
        <v>4</v>
      </c>
      <c r="L68">
        <v>5</v>
      </c>
    </row>
    <row r="69" spans="1:12" x14ac:dyDescent="0.3">
      <c r="A69">
        <v>4</v>
      </c>
      <c r="B69">
        <v>2</v>
      </c>
      <c r="C69">
        <v>2</v>
      </c>
      <c r="D69">
        <v>1</v>
      </c>
      <c r="E69">
        <v>3</v>
      </c>
      <c r="F69">
        <v>2</v>
      </c>
      <c r="G69">
        <v>3</v>
      </c>
      <c r="H69">
        <v>1</v>
      </c>
      <c r="I69">
        <v>3</v>
      </c>
      <c r="J69">
        <v>4</v>
      </c>
      <c r="K69">
        <v>3</v>
      </c>
      <c r="L69">
        <v>5</v>
      </c>
    </row>
    <row r="70" spans="1:12" x14ac:dyDescent="0.3">
      <c r="A70">
        <v>2</v>
      </c>
      <c r="B70">
        <v>2</v>
      </c>
      <c r="C70">
        <v>2</v>
      </c>
      <c r="D70">
        <v>1</v>
      </c>
      <c r="E70">
        <v>2</v>
      </c>
      <c r="F70">
        <v>3</v>
      </c>
      <c r="G70">
        <v>5</v>
      </c>
      <c r="H70">
        <v>4</v>
      </c>
      <c r="I70">
        <v>5</v>
      </c>
      <c r="J70">
        <v>5</v>
      </c>
      <c r="K70">
        <v>5</v>
      </c>
      <c r="L70">
        <v>4</v>
      </c>
    </row>
    <row r="71" spans="1:12" x14ac:dyDescent="0.3">
      <c r="A71">
        <v>5</v>
      </c>
      <c r="B71">
        <v>2</v>
      </c>
      <c r="C71">
        <v>1</v>
      </c>
      <c r="D71">
        <v>5</v>
      </c>
      <c r="E71">
        <v>1</v>
      </c>
      <c r="F71">
        <v>2</v>
      </c>
      <c r="G71">
        <v>4</v>
      </c>
      <c r="H71">
        <v>4</v>
      </c>
      <c r="I71">
        <v>5</v>
      </c>
      <c r="J71">
        <v>5</v>
      </c>
      <c r="K71">
        <v>4</v>
      </c>
      <c r="L71">
        <v>5</v>
      </c>
    </row>
    <row r="72" spans="1:12" x14ac:dyDescent="0.3">
      <c r="A72">
        <v>3</v>
      </c>
      <c r="B72">
        <v>2</v>
      </c>
      <c r="C72">
        <v>2</v>
      </c>
      <c r="D72">
        <v>2</v>
      </c>
      <c r="E72">
        <v>2</v>
      </c>
      <c r="F72">
        <v>2</v>
      </c>
      <c r="G72">
        <v>3</v>
      </c>
      <c r="H72">
        <v>4</v>
      </c>
      <c r="I72">
        <v>4</v>
      </c>
      <c r="J72">
        <v>4</v>
      </c>
      <c r="K72">
        <v>3</v>
      </c>
      <c r="L72">
        <v>3</v>
      </c>
    </row>
    <row r="73" spans="1:12" x14ac:dyDescent="0.3">
      <c r="A73">
        <v>5</v>
      </c>
      <c r="B73">
        <v>1</v>
      </c>
      <c r="C73">
        <v>2</v>
      </c>
      <c r="D73">
        <v>3</v>
      </c>
      <c r="E73">
        <v>2</v>
      </c>
      <c r="F73">
        <v>2</v>
      </c>
      <c r="G73">
        <v>5</v>
      </c>
      <c r="H73">
        <v>4</v>
      </c>
      <c r="I73">
        <v>4</v>
      </c>
      <c r="J73">
        <v>3</v>
      </c>
      <c r="K73">
        <v>4</v>
      </c>
      <c r="L73">
        <v>4</v>
      </c>
    </row>
    <row r="74" spans="1:12" x14ac:dyDescent="0.3">
      <c r="A74">
        <v>2</v>
      </c>
      <c r="B74">
        <v>2</v>
      </c>
      <c r="C74">
        <v>2</v>
      </c>
      <c r="D74">
        <v>1</v>
      </c>
      <c r="E74">
        <v>2</v>
      </c>
      <c r="F74">
        <v>2</v>
      </c>
      <c r="G74">
        <v>4</v>
      </c>
      <c r="H74">
        <v>4</v>
      </c>
      <c r="I74">
        <v>4</v>
      </c>
      <c r="J74">
        <v>4</v>
      </c>
      <c r="K74">
        <v>4</v>
      </c>
      <c r="L74">
        <v>5</v>
      </c>
    </row>
    <row r="75" spans="1:12" x14ac:dyDescent="0.3">
      <c r="A75">
        <v>2</v>
      </c>
      <c r="B75">
        <v>2</v>
      </c>
      <c r="C75">
        <v>2</v>
      </c>
      <c r="D75">
        <v>1</v>
      </c>
      <c r="E75">
        <v>2</v>
      </c>
      <c r="F75">
        <v>2</v>
      </c>
      <c r="G75">
        <v>4</v>
      </c>
      <c r="H75">
        <v>2</v>
      </c>
      <c r="I75">
        <v>5</v>
      </c>
      <c r="J75">
        <v>4</v>
      </c>
      <c r="K75">
        <v>2</v>
      </c>
      <c r="L75">
        <v>4</v>
      </c>
    </row>
    <row r="76" spans="1:12" x14ac:dyDescent="0.3">
      <c r="A76">
        <v>2</v>
      </c>
      <c r="B76">
        <v>2</v>
      </c>
      <c r="C76">
        <v>2</v>
      </c>
      <c r="D76">
        <v>1</v>
      </c>
      <c r="E76">
        <v>2</v>
      </c>
      <c r="F76">
        <v>2</v>
      </c>
      <c r="G76">
        <v>3</v>
      </c>
      <c r="H76">
        <v>4</v>
      </c>
      <c r="I76">
        <v>5</v>
      </c>
      <c r="J76">
        <v>5</v>
      </c>
      <c r="K76">
        <v>5</v>
      </c>
      <c r="L76">
        <v>5</v>
      </c>
    </row>
    <row r="77" spans="1:12" x14ac:dyDescent="0.3">
      <c r="A77">
        <v>2</v>
      </c>
      <c r="B77">
        <v>2</v>
      </c>
      <c r="C77">
        <v>2</v>
      </c>
      <c r="D77">
        <v>1</v>
      </c>
      <c r="E77">
        <v>2</v>
      </c>
      <c r="F77">
        <v>2</v>
      </c>
      <c r="G77">
        <v>4</v>
      </c>
      <c r="H77">
        <v>4</v>
      </c>
      <c r="I77">
        <v>5</v>
      </c>
      <c r="J77">
        <v>4</v>
      </c>
      <c r="K77">
        <v>5</v>
      </c>
      <c r="L77">
        <v>5</v>
      </c>
    </row>
    <row r="78" spans="1:12" x14ac:dyDescent="0.3">
      <c r="A78">
        <v>2</v>
      </c>
      <c r="B78">
        <v>2</v>
      </c>
      <c r="C78">
        <v>2</v>
      </c>
      <c r="D78">
        <v>1</v>
      </c>
      <c r="E78">
        <v>2</v>
      </c>
      <c r="F78">
        <v>1</v>
      </c>
      <c r="G78">
        <v>4</v>
      </c>
      <c r="H78">
        <v>4</v>
      </c>
      <c r="I78">
        <v>5</v>
      </c>
      <c r="J78">
        <v>5</v>
      </c>
      <c r="K78">
        <v>5</v>
      </c>
      <c r="L78">
        <v>5</v>
      </c>
    </row>
    <row r="79" spans="1:12" x14ac:dyDescent="0.3">
      <c r="A79">
        <v>2</v>
      </c>
      <c r="B79">
        <v>1</v>
      </c>
      <c r="C79">
        <v>2</v>
      </c>
      <c r="D79">
        <v>1</v>
      </c>
      <c r="E79">
        <v>2</v>
      </c>
      <c r="F79">
        <v>2</v>
      </c>
      <c r="G79">
        <v>3</v>
      </c>
      <c r="H79">
        <v>4</v>
      </c>
      <c r="I79">
        <v>4</v>
      </c>
      <c r="J79">
        <v>4</v>
      </c>
      <c r="K79">
        <v>4</v>
      </c>
      <c r="L79">
        <v>5</v>
      </c>
    </row>
    <row r="80" spans="1:12" x14ac:dyDescent="0.3">
      <c r="A80">
        <v>5</v>
      </c>
      <c r="B80">
        <v>2</v>
      </c>
      <c r="C80">
        <v>1</v>
      </c>
      <c r="D80">
        <v>4</v>
      </c>
      <c r="E80">
        <v>1</v>
      </c>
      <c r="F80">
        <v>2</v>
      </c>
      <c r="G80">
        <v>4</v>
      </c>
      <c r="H80">
        <v>4</v>
      </c>
      <c r="I80">
        <v>5</v>
      </c>
      <c r="J80">
        <v>4</v>
      </c>
      <c r="K80">
        <v>4</v>
      </c>
      <c r="L80">
        <v>5</v>
      </c>
    </row>
    <row r="81" spans="1:12" x14ac:dyDescent="0.3">
      <c r="A81">
        <v>5</v>
      </c>
      <c r="B81">
        <v>2</v>
      </c>
      <c r="C81">
        <v>1</v>
      </c>
      <c r="D81">
        <v>5</v>
      </c>
      <c r="E81">
        <v>1</v>
      </c>
      <c r="F81">
        <v>2</v>
      </c>
      <c r="G81">
        <v>2</v>
      </c>
      <c r="H81">
        <v>5</v>
      </c>
      <c r="I81">
        <v>4</v>
      </c>
      <c r="J81">
        <v>4</v>
      </c>
      <c r="K81">
        <v>2</v>
      </c>
      <c r="L81">
        <v>4</v>
      </c>
    </row>
    <row r="82" spans="1:12" x14ac:dyDescent="0.3">
      <c r="A82">
        <v>3</v>
      </c>
      <c r="B82">
        <v>2</v>
      </c>
      <c r="C82">
        <v>1</v>
      </c>
      <c r="D82">
        <v>4</v>
      </c>
      <c r="E82">
        <v>1</v>
      </c>
      <c r="F82">
        <v>2</v>
      </c>
      <c r="G82">
        <v>4</v>
      </c>
      <c r="H82">
        <v>4</v>
      </c>
      <c r="I82">
        <v>4</v>
      </c>
      <c r="J82">
        <v>5</v>
      </c>
      <c r="K82">
        <v>5</v>
      </c>
      <c r="L82">
        <v>4</v>
      </c>
    </row>
    <row r="83" spans="1:12" x14ac:dyDescent="0.3">
      <c r="A83">
        <v>2</v>
      </c>
      <c r="B83">
        <v>2</v>
      </c>
      <c r="C83">
        <v>2</v>
      </c>
      <c r="D83">
        <v>2</v>
      </c>
      <c r="E83">
        <v>2</v>
      </c>
      <c r="F83">
        <v>3</v>
      </c>
      <c r="G83">
        <v>5</v>
      </c>
      <c r="H83">
        <v>5</v>
      </c>
      <c r="I83">
        <v>2</v>
      </c>
      <c r="J83">
        <v>4</v>
      </c>
      <c r="K83">
        <v>4</v>
      </c>
      <c r="L83">
        <v>4</v>
      </c>
    </row>
    <row r="84" spans="1:12" x14ac:dyDescent="0.3">
      <c r="A84">
        <v>2</v>
      </c>
      <c r="B84">
        <v>2</v>
      </c>
      <c r="C84">
        <v>1</v>
      </c>
      <c r="D84">
        <v>2</v>
      </c>
      <c r="E84">
        <v>2</v>
      </c>
      <c r="F84">
        <v>3</v>
      </c>
      <c r="G84">
        <v>4</v>
      </c>
      <c r="H84">
        <v>4</v>
      </c>
      <c r="I84">
        <v>4</v>
      </c>
      <c r="J84">
        <v>4</v>
      </c>
      <c r="K84">
        <v>4</v>
      </c>
      <c r="L84">
        <v>4</v>
      </c>
    </row>
    <row r="85" spans="1:12" x14ac:dyDescent="0.3">
      <c r="A85">
        <v>2</v>
      </c>
      <c r="B85">
        <v>2</v>
      </c>
      <c r="C85">
        <v>2</v>
      </c>
      <c r="D85">
        <v>2</v>
      </c>
      <c r="E85">
        <v>2</v>
      </c>
      <c r="F85">
        <v>2</v>
      </c>
      <c r="G85">
        <v>5</v>
      </c>
      <c r="H85">
        <v>4</v>
      </c>
      <c r="I85">
        <v>4</v>
      </c>
      <c r="J85">
        <v>5</v>
      </c>
      <c r="K85">
        <v>5</v>
      </c>
      <c r="L85">
        <v>5</v>
      </c>
    </row>
    <row r="86" spans="1:12" x14ac:dyDescent="0.3">
      <c r="A86">
        <v>6</v>
      </c>
      <c r="B86">
        <v>2</v>
      </c>
      <c r="C86">
        <v>3</v>
      </c>
      <c r="D86">
        <v>5</v>
      </c>
      <c r="E86">
        <v>4</v>
      </c>
      <c r="F86">
        <v>2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</row>
    <row r="87" spans="1:12" x14ac:dyDescent="0.3">
      <c r="A87">
        <v>6</v>
      </c>
      <c r="B87">
        <v>2</v>
      </c>
      <c r="C87">
        <v>1</v>
      </c>
      <c r="D87">
        <v>5</v>
      </c>
      <c r="E87">
        <v>2</v>
      </c>
      <c r="F87">
        <v>2</v>
      </c>
      <c r="G87">
        <v>4</v>
      </c>
      <c r="H87">
        <v>4</v>
      </c>
      <c r="I87">
        <v>4</v>
      </c>
      <c r="J87">
        <v>4</v>
      </c>
      <c r="K87">
        <v>3</v>
      </c>
      <c r="L87">
        <v>4</v>
      </c>
    </row>
    <row r="88" spans="1:12" x14ac:dyDescent="0.3">
      <c r="A88">
        <v>3</v>
      </c>
      <c r="B88">
        <v>2</v>
      </c>
      <c r="C88">
        <v>1</v>
      </c>
      <c r="D88">
        <v>2</v>
      </c>
      <c r="E88">
        <v>1</v>
      </c>
      <c r="F88">
        <v>2</v>
      </c>
      <c r="G88">
        <v>3</v>
      </c>
      <c r="H88">
        <v>5</v>
      </c>
      <c r="I88">
        <v>5</v>
      </c>
      <c r="J88">
        <v>5</v>
      </c>
      <c r="K88">
        <v>5</v>
      </c>
      <c r="L88">
        <v>5</v>
      </c>
    </row>
    <row r="89" spans="1:12" x14ac:dyDescent="0.3">
      <c r="A89">
        <v>6</v>
      </c>
      <c r="B89">
        <v>2</v>
      </c>
      <c r="C89">
        <v>3</v>
      </c>
      <c r="D89">
        <v>5</v>
      </c>
      <c r="E89">
        <v>4</v>
      </c>
      <c r="F89">
        <v>2</v>
      </c>
      <c r="G89">
        <v>3</v>
      </c>
      <c r="H89">
        <v>4</v>
      </c>
      <c r="I89">
        <v>5</v>
      </c>
      <c r="J89">
        <v>4</v>
      </c>
      <c r="K89">
        <v>3</v>
      </c>
      <c r="L89">
        <v>5</v>
      </c>
    </row>
    <row r="90" spans="1:12" x14ac:dyDescent="0.3">
      <c r="A90">
        <v>3</v>
      </c>
      <c r="B90">
        <v>2</v>
      </c>
      <c r="C90">
        <v>2</v>
      </c>
      <c r="D90">
        <v>3</v>
      </c>
      <c r="E90">
        <v>2</v>
      </c>
      <c r="F90">
        <v>1</v>
      </c>
      <c r="G90">
        <v>4</v>
      </c>
      <c r="H90">
        <v>4</v>
      </c>
      <c r="I90">
        <v>3</v>
      </c>
      <c r="J90">
        <v>4</v>
      </c>
      <c r="K90">
        <v>4</v>
      </c>
      <c r="L90">
        <v>4</v>
      </c>
    </row>
    <row r="91" spans="1:12" x14ac:dyDescent="0.3">
      <c r="A91">
        <v>3</v>
      </c>
      <c r="B91">
        <v>2</v>
      </c>
      <c r="C91">
        <v>2</v>
      </c>
      <c r="D91">
        <v>3</v>
      </c>
      <c r="E91">
        <v>2</v>
      </c>
      <c r="F91">
        <v>2</v>
      </c>
      <c r="G91">
        <v>3</v>
      </c>
      <c r="H91">
        <v>4</v>
      </c>
      <c r="I91">
        <v>4</v>
      </c>
      <c r="J91">
        <v>4</v>
      </c>
      <c r="K91">
        <v>4</v>
      </c>
      <c r="L91">
        <v>4</v>
      </c>
    </row>
    <row r="92" spans="1:12" x14ac:dyDescent="0.3">
      <c r="A92">
        <v>3</v>
      </c>
      <c r="B92">
        <v>2</v>
      </c>
      <c r="C92">
        <v>2</v>
      </c>
      <c r="D92">
        <v>2</v>
      </c>
      <c r="E92">
        <v>2</v>
      </c>
      <c r="F92">
        <v>2</v>
      </c>
      <c r="G92">
        <v>5</v>
      </c>
      <c r="H92">
        <v>5</v>
      </c>
      <c r="I92">
        <v>5</v>
      </c>
      <c r="J92">
        <v>4</v>
      </c>
      <c r="K92">
        <v>4</v>
      </c>
      <c r="L92">
        <v>5</v>
      </c>
    </row>
    <row r="93" spans="1:12" x14ac:dyDescent="0.3">
      <c r="A93">
        <v>3</v>
      </c>
      <c r="B93">
        <v>2</v>
      </c>
      <c r="C93">
        <v>2</v>
      </c>
      <c r="D93">
        <v>2</v>
      </c>
      <c r="E93">
        <v>2</v>
      </c>
      <c r="F93">
        <v>2</v>
      </c>
      <c r="G93">
        <v>3</v>
      </c>
      <c r="H93">
        <v>4</v>
      </c>
      <c r="I93">
        <v>4</v>
      </c>
      <c r="J93">
        <v>4</v>
      </c>
      <c r="K93">
        <v>4</v>
      </c>
      <c r="L93">
        <v>4</v>
      </c>
    </row>
    <row r="94" spans="1:12" x14ac:dyDescent="0.3">
      <c r="A94">
        <v>4</v>
      </c>
      <c r="B94">
        <v>2</v>
      </c>
      <c r="C94">
        <v>2</v>
      </c>
      <c r="D94">
        <v>4</v>
      </c>
      <c r="E94">
        <v>2</v>
      </c>
      <c r="F94">
        <v>3</v>
      </c>
      <c r="G94">
        <v>5</v>
      </c>
      <c r="H94">
        <v>4</v>
      </c>
      <c r="I94">
        <v>5</v>
      </c>
      <c r="J94">
        <v>5</v>
      </c>
      <c r="K94">
        <v>5</v>
      </c>
      <c r="L94">
        <v>5</v>
      </c>
    </row>
    <row r="95" spans="1:12" x14ac:dyDescent="0.3">
      <c r="A95">
        <v>4</v>
      </c>
      <c r="B95">
        <v>2</v>
      </c>
      <c r="C95">
        <v>3</v>
      </c>
      <c r="D95">
        <v>5</v>
      </c>
      <c r="E95">
        <v>4</v>
      </c>
      <c r="F95">
        <v>3</v>
      </c>
      <c r="G95">
        <v>4</v>
      </c>
      <c r="H95">
        <v>5</v>
      </c>
      <c r="I95">
        <v>5</v>
      </c>
      <c r="J95">
        <v>5</v>
      </c>
      <c r="K95">
        <v>5</v>
      </c>
      <c r="L95">
        <v>5</v>
      </c>
    </row>
    <row r="96" spans="1:12" x14ac:dyDescent="0.3">
      <c r="A96">
        <v>2</v>
      </c>
      <c r="B96">
        <v>2</v>
      </c>
      <c r="C96">
        <v>2</v>
      </c>
      <c r="D96">
        <v>2</v>
      </c>
      <c r="E96">
        <v>2</v>
      </c>
      <c r="F96">
        <v>3</v>
      </c>
      <c r="G96">
        <v>5</v>
      </c>
      <c r="H96">
        <v>5</v>
      </c>
      <c r="I96">
        <v>5</v>
      </c>
      <c r="J96">
        <v>4</v>
      </c>
      <c r="K96">
        <v>4</v>
      </c>
      <c r="L96">
        <v>3</v>
      </c>
    </row>
    <row r="97" spans="1:12" x14ac:dyDescent="0.3">
      <c r="A97">
        <v>4</v>
      </c>
      <c r="B97">
        <v>2</v>
      </c>
      <c r="C97">
        <v>3</v>
      </c>
      <c r="D97">
        <v>5</v>
      </c>
      <c r="E97">
        <v>4</v>
      </c>
      <c r="F97">
        <v>2</v>
      </c>
      <c r="G97">
        <v>4</v>
      </c>
      <c r="H97">
        <v>4</v>
      </c>
      <c r="I97">
        <v>4</v>
      </c>
      <c r="J97">
        <v>4</v>
      </c>
      <c r="K97">
        <v>2</v>
      </c>
      <c r="L97">
        <v>5</v>
      </c>
    </row>
    <row r="98" spans="1:12" x14ac:dyDescent="0.3">
      <c r="A98">
        <v>3</v>
      </c>
      <c r="B98">
        <v>2</v>
      </c>
      <c r="C98">
        <v>2</v>
      </c>
      <c r="D98">
        <v>1</v>
      </c>
      <c r="E98">
        <v>2</v>
      </c>
      <c r="F98">
        <v>2</v>
      </c>
      <c r="G98">
        <v>4</v>
      </c>
      <c r="H98">
        <v>5</v>
      </c>
      <c r="I98">
        <v>5</v>
      </c>
      <c r="J98">
        <v>5</v>
      </c>
      <c r="K98">
        <v>5</v>
      </c>
      <c r="L98">
        <v>5</v>
      </c>
    </row>
    <row r="99" spans="1:12" x14ac:dyDescent="0.3">
      <c r="A99">
        <v>3</v>
      </c>
      <c r="B99">
        <v>2</v>
      </c>
      <c r="C99">
        <v>2</v>
      </c>
      <c r="D99">
        <v>2</v>
      </c>
      <c r="E99">
        <v>2</v>
      </c>
      <c r="F99">
        <v>2</v>
      </c>
      <c r="G99">
        <v>4</v>
      </c>
      <c r="H99">
        <v>4</v>
      </c>
      <c r="I99">
        <v>5</v>
      </c>
      <c r="J99">
        <v>4</v>
      </c>
      <c r="K99">
        <v>4</v>
      </c>
      <c r="L99">
        <v>4</v>
      </c>
    </row>
    <row r="100" spans="1:12" x14ac:dyDescent="0.3">
      <c r="A100">
        <v>4</v>
      </c>
      <c r="B100">
        <v>2</v>
      </c>
      <c r="C100">
        <v>2</v>
      </c>
      <c r="D100">
        <v>4</v>
      </c>
      <c r="E100">
        <v>4</v>
      </c>
      <c r="F100">
        <v>2</v>
      </c>
      <c r="G100">
        <v>3</v>
      </c>
      <c r="H100">
        <v>4</v>
      </c>
      <c r="I100">
        <v>5</v>
      </c>
      <c r="J100">
        <v>4</v>
      </c>
      <c r="K100">
        <v>4</v>
      </c>
      <c r="L100">
        <v>4</v>
      </c>
    </row>
    <row r="101" spans="1:12" x14ac:dyDescent="0.3">
      <c r="A101">
        <v>3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2</v>
      </c>
      <c r="H101">
        <v>4</v>
      </c>
      <c r="I101">
        <v>4</v>
      </c>
      <c r="J101">
        <v>4</v>
      </c>
      <c r="K101">
        <v>3</v>
      </c>
      <c r="L101">
        <v>4</v>
      </c>
    </row>
    <row r="102" spans="1:12" x14ac:dyDescent="0.3">
      <c r="A102">
        <v>5</v>
      </c>
      <c r="B102">
        <v>2</v>
      </c>
      <c r="C102">
        <v>3</v>
      </c>
      <c r="D102">
        <v>5</v>
      </c>
      <c r="E102">
        <v>4</v>
      </c>
      <c r="F102">
        <v>2</v>
      </c>
      <c r="G102">
        <v>4</v>
      </c>
      <c r="H102">
        <v>4</v>
      </c>
      <c r="I102">
        <v>4</v>
      </c>
      <c r="J102">
        <v>4</v>
      </c>
      <c r="K102">
        <v>4</v>
      </c>
      <c r="L102">
        <v>5</v>
      </c>
    </row>
    <row r="103" spans="1:12" x14ac:dyDescent="0.3">
      <c r="A103">
        <v>4</v>
      </c>
      <c r="B103">
        <v>2</v>
      </c>
      <c r="C103">
        <v>1</v>
      </c>
      <c r="D103">
        <v>2</v>
      </c>
      <c r="E103">
        <v>1</v>
      </c>
      <c r="F103">
        <v>2</v>
      </c>
      <c r="G103">
        <v>3</v>
      </c>
      <c r="H103">
        <v>5</v>
      </c>
      <c r="I103">
        <v>5</v>
      </c>
      <c r="J103">
        <v>5</v>
      </c>
      <c r="K103">
        <v>4</v>
      </c>
      <c r="L103">
        <v>5</v>
      </c>
    </row>
    <row r="104" spans="1:12" x14ac:dyDescent="0.3">
      <c r="A104">
        <v>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3</v>
      </c>
      <c r="H104">
        <v>3</v>
      </c>
      <c r="I104">
        <v>4</v>
      </c>
      <c r="J104">
        <v>4</v>
      </c>
      <c r="K104">
        <v>3</v>
      </c>
      <c r="L104">
        <v>4</v>
      </c>
    </row>
    <row r="105" spans="1:12" x14ac:dyDescent="0.3">
      <c r="A105">
        <v>3</v>
      </c>
      <c r="B105">
        <v>2</v>
      </c>
      <c r="C105">
        <v>2</v>
      </c>
      <c r="D105">
        <v>3</v>
      </c>
      <c r="E105">
        <v>2</v>
      </c>
      <c r="F105">
        <v>3</v>
      </c>
      <c r="G105">
        <v>4</v>
      </c>
      <c r="H105">
        <v>4</v>
      </c>
      <c r="I105">
        <v>4</v>
      </c>
      <c r="J105">
        <v>5</v>
      </c>
      <c r="K105">
        <v>5</v>
      </c>
      <c r="L105">
        <v>5</v>
      </c>
    </row>
    <row r="106" spans="1:12" x14ac:dyDescent="0.3">
      <c r="A106">
        <v>3</v>
      </c>
      <c r="B106">
        <v>2</v>
      </c>
      <c r="C106">
        <v>2</v>
      </c>
      <c r="D106">
        <v>3</v>
      </c>
      <c r="E106">
        <v>2</v>
      </c>
      <c r="F106">
        <v>3</v>
      </c>
      <c r="G106">
        <v>3</v>
      </c>
      <c r="H106">
        <v>5</v>
      </c>
      <c r="I106">
        <v>4</v>
      </c>
      <c r="J106">
        <v>4</v>
      </c>
      <c r="K106">
        <v>4</v>
      </c>
      <c r="L106">
        <v>5</v>
      </c>
    </row>
    <row r="107" spans="1:12" x14ac:dyDescent="0.3">
      <c r="A107">
        <v>5</v>
      </c>
      <c r="B107">
        <v>2</v>
      </c>
      <c r="C107">
        <v>3</v>
      </c>
      <c r="D107">
        <v>5</v>
      </c>
      <c r="E107">
        <v>4</v>
      </c>
      <c r="F107">
        <v>3</v>
      </c>
      <c r="G107">
        <v>5</v>
      </c>
      <c r="H107">
        <v>5</v>
      </c>
      <c r="I107">
        <v>5</v>
      </c>
      <c r="J107">
        <v>5</v>
      </c>
      <c r="K107">
        <v>2</v>
      </c>
      <c r="L107">
        <v>5</v>
      </c>
    </row>
    <row r="108" spans="1:12" x14ac:dyDescent="0.3">
      <c r="A108">
        <v>4</v>
      </c>
      <c r="B108">
        <v>2</v>
      </c>
      <c r="C108">
        <v>2</v>
      </c>
      <c r="D108">
        <v>5</v>
      </c>
      <c r="E108">
        <v>4</v>
      </c>
      <c r="F108">
        <v>2</v>
      </c>
      <c r="G108">
        <v>3</v>
      </c>
      <c r="H108">
        <v>4</v>
      </c>
      <c r="I108">
        <v>4</v>
      </c>
      <c r="J108">
        <v>4</v>
      </c>
      <c r="K108">
        <v>3</v>
      </c>
      <c r="L108">
        <v>3</v>
      </c>
    </row>
    <row r="109" spans="1:12" x14ac:dyDescent="0.3">
      <c r="A109">
        <v>2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3</v>
      </c>
      <c r="H109">
        <v>4</v>
      </c>
      <c r="I109">
        <v>4</v>
      </c>
      <c r="J109">
        <v>4</v>
      </c>
      <c r="K109">
        <v>4</v>
      </c>
      <c r="L109">
        <v>4</v>
      </c>
    </row>
    <row r="110" spans="1:12" x14ac:dyDescent="0.3">
      <c r="A110">
        <v>3</v>
      </c>
      <c r="B110">
        <v>2</v>
      </c>
      <c r="C110">
        <v>1</v>
      </c>
      <c r="D110">
        <v>2</v>
      </c>
      <c r="E110">
        <v>2</v>
      </c>
      <c r="F110">
        <v>2</v>
      </c>
      <c r="G110">
        <v>3</v>
      </c>
      <c r="H110">
        <v>4</v>
      </c>
      <c r="I110">
        <v>4</v>
      </c>
      <c r="J110">
        <v>4</v>
      </c>
      <c r="K110">
        <v>2</v>
      </c>
      <c r="L110">
        <v>4</v>
      </c>
    </row>
    <row r="111" spans="1:12" x14ac:dyDescent="0.3">
      <c r="A111">
        <v>3</v>
      </c>
      <c r="B111">
        <v>2</v>
      </c>
      <c r="C111">
        <v>2</v>
      </c>
      <c r="D111">
        <v>2</v>
      </c>
      <c r="E111">
        <v>2</v>
      </c>
      <c r="F111">
        <v>3</v>
      </c>
      <c r="G111">
        <v>3</v>
      </c>
      <c r="H111">
        <v>4</v>
      </c>
      <c r="I111">
        <v>5</v>
      </c>
      <c r="J111">
        <v>5</v>
      </c>
      <c r="K111">
        <v>4</v>
      </c>
      <c r="L111">
        <v>4</v>
      </c>
    </row>
    <row r="112" spans="1:12" x14ac:dyDescent="0.3">
      <c r="A112">
        <v>4</v>
      </c>
      <c r="B112">
        <v>2</v>
      </c>
      <c r="C112">
        <v>2</v>
      </c>
      <c r="D112">
        <v>3</v>
      </c>
      <c r="E112">
        <v>3</v>
      </c>
      <c r="F112">
        <v>2</v>
      </c>
      <c r="G112">
        <v>4</v>
      </c>
      <c r="H112">
        <v>4</v>
      </c>
      <c r="I112">
        <v>4</v>
      </c>
      <c r="J112">
        <v>4</v>
      </c>
      <c r="K112">
        <v>5</v>
      </c>
      <c r="L112">
        <v>5</v>
      </c>
    </row>
    <row r="113" spans="1:12" x14ac:dyDescent="0.3">
      <c r="A113">
        <v>5</v>
      </c>
      <c r="B113">
        <v>2</v>
      </c>
      <c r="C113">
        <v>2</v>
      </c>
      <c r="D113">
        <v>3</v>
      </c>
      <c r="E113">
        <v>4</v>
      </c>
      <c r="F113">
        <v>2</v>
      </c>
      <c r="G113">
        <v>5</v>
      </c>
      <c r="H113">
        <v>5</v>
      </c>
      <c r="I113">
        <v>5</v>
      </c>
      <c r="J113">
        <v>5</v>
      </c>
      <c r="K113">
        <v>5</v>
      </c>
      <c r="L113">
        <v>5</v>
      </c>
    </row>
    <row r="114" spans="1:12" x14ac:dyDescent="0.3">
      <c r="A114">
        <v>5</v>
      </c>
      <c r="B114">
        <v>2</v>
      </c>
      <c r="C114">
        <v>1</v>
      </c>
      <c r="D114">
        <v>4</v>
      </c>
      <c r="E114">
        <v>2</v>
      </c>
      <c r="F114">
        <v>2</v>
      </c>
      <c r="G114">
        <v>4</v>
      </c>
      <c r="H114">
        <v>5</v>
      </c>
      <c r="I114">
        <v>5</v>
      </c>
      <c r="J114">
        <v>5</v>
      </c>
      <c r="K114">
        <v>4</v>
      </c>
      <c r="L114">
        <v>5</v>
      </c>
    </row>
    <row r="115" spans="1:12" x14ac:dyDescent="0.3">
      <c r="A115">
        <v>2</v>
      </c>
      <c r="B115">
        <v>2</v>
      </c>
      <c r="C115">
        <v>2</v>
      </c>
      <c r="D115">
        <v>1</v>
      </c>
      <c r="E115">
        <v>2</v>
      </c>
      <c r="F115">
        <v>2</v>
      </c>
      <c r="G115">
        <v>4</v>
      </c>
      <c r="H115">
        <v>4</v>
      </c>
      <c r="I115">
        <v>4</v>
      </c>
      <c r="J115">
        <v>4</v>
      </c>
      <c r="K115">
        <v>4</v>
      </c>
      <c r="L115">
        <v>5</v>
      </c>
    </row>
    <row r="116" spans="1:12" x14ac:dyDescent="0.3">
      <c r="A116">
        <v>2</v>
      </c>
      <c r="B116">
        <v>2</v>
      </c>
      <c r="C116">
        <v>2</v>
      </c>
      <c r="D116">
        <v>1</v>
      </c>
      <c r="E116">
        <v>2</v>
      </c>
      <c r="F116">
        <v>3</v>
      </c>
      <c r="G116">
        <v>5</v>
      </c>
      <c r="H116">
        <v>5</v>
      </c>
      <c r="I116">
        <v>5</v>
      </c>
      <c r="J116">
        <v>5</v>
      </c>
      <c r="K116">
        <v>4</v>
      </c>
      <c r="L116">
        <v>5</v>
      </c>
    </row>
    <row r="117" spans="1:12" x14ac:dyDescent="0.3">
      <c r="A117">
        <v>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4</v>
      </c>
      <c r="H117">
        <v>5</v>
      </c>
      <c r="I117">
        <v>5</v>
      </c>
      <c r="J117">
        <v>5</v>
      </c>
      <c r="K117">
        <v>5</v>
      </c>
      <c r="L117">
        <v>5</v>
      </c>
    </row>
    <row r="118" spans="1:12" x14ac:dyDescent="0.3">
      <c r="A118">
        <v>4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5</v>
      </c>
    </row>
    <row r="119" spans="1:12" x14ac:dyDescent="0.3">
      <c r="A119">
        <v>3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3</v>
      </c>
      <c r="H119">
        <v>4</v>
      </c>
      <c r="I119">
        <v>5</v>
      </c>
      <c r="J119">
        <v>4</v>
      </c>
      <c r="K119">
        <v>5</v>
      </c>
      <c r="L119">
        <v>4</v>
      </c>
    </row>
    <row r="120" spans="1:12" x14ac:dyDescent="0.3">
      <c r="A120">
        <v>3</v>
      </c>
      <c r="B120">
        <v>2</v>
      </c>
      <c r="C120">
        <v>1</v>
      </c>
      <c r="D120">
        <v>2</v>
      </c>
      <c r="E120">
        <v>1</v>
      </c>
      <c r="F120">
        <v>3</v>
      </c>
      <c r="G120">
        <v>4</v>
      </c>
      <c r="H120">
        <v>4</v>
      </c>
      <c r="I120">
        <v>3</v>
      </c>
      <c r="J120">
        <v>4</v>
      </c>
      <c r="K120">
        <v>4</v>
      </c>
      <c r="L120">
        <v>4</v>
      </c>
    </row>
    <row r="121" spans="1:12" x14ac:dyDescent="0.3">
      <c r="A121">
        <v>3</v>
      </c>
      <c r="B121">
        <v>2</v>
      </c>
      <c r="C121">
        <v>2</v>
      </c>
      <c r="D121">
        <v>3</v>
      </c>
      <c r="E121">
        <v>3</v>
      </c>
      <c r="F121">
        <v>3</v>
      </c>
      <c r="G121">
        <v>5</v>
      </c>
      <c r="H121">
        <v>5</v>
      </c>
      <c r="I121">
        <v>5</v>
      </c>
      <c r="J121">
        <v>4</v>
      </c>
      <c r="K121">
        <v>4</v>
      </c>
      <c r="L121">
        <v>5</v>
      </c>
    </row>
    <row r="122" spans="1:12" x14ac:dyDescent="0.3">
      <c r="A122">
        <v>6</v>
      </c>
      <c r="B122">
        <v>2</v>
      </c>
      <c r="C122">
        <v>1</v>
      </c>
      <c r="D122">
        <v>3</v>
      </c>
      <c r="E122">
        <v>1</v>
      </c>
      <c r="F122">
        <v>2</v>
      </c>
      <c r="G122">
        <v>2</v>
      </c>
      <c r="H122">
        <v>5</v>
      </c>
      <c r="I122">
        <v>2</v>
      </c>
      <c r="J122">
        <v>4</v>
      </c>
      <c r="K122">
        <v>2</v>
      </c>
      <c r="L122">
        <v>4</v>
      </c>
    </row>
    <row r="123" spans="1:12" x14ac:dyDescent="0.3">
      <c r="A123">
        <v>4</v>
      </c>
      <c r="B123">
        <v>2</v>
      </c>
      <c r="C123">
        <v>3</v>
      </c>
      <c r="D123">
        <v>4</v>
      </c>
      <c r="E123">
        <v>4</v>
      </c>
      <c r="F123">
        <v>2</v>
      </c>
      <c r="G123">
        <v>5</v>
      </c>
      <c r="H123">
        <v>3</v>
      </c>
      <c r="I123">
        <v>5</v>
      </c>
      <c r="J123">
        <v>4</v>
      </c>
      <c r="K123">
        <v>4</v>
      </c>
      <c r="L123">
        <v>3</v>
      </c>
    </row>
    <row r="124" spans="1:12" x14ac:dyDescent="0.3">
      <c r="A124">
        <v>4</v>
      </c>
      <c r="B124">
        <v>2</v>
      </c>
      <c r="C124">
        <v>3</v>
      </c>
      <c r="D124">
        <v>5</v>
      </c>
      <c r="E124">
        <v>3</v>
      </c>
      <c r="F124">
        <v>2</v>
      </c>
      <c r="G124">
        <v>5</v>
      </c>
      <c r="H124">
        <v>5</v>
      </c>
      <c r="I124">
        <v>3</v>
      </c>
      <c r="J124">
        <v>5</v>
      </c>
      <c r="K124">
        <v>5</v>
      </c>
      <c r="L124">
        <v>5</v>
      </c>
    </row>
    <row r="125" spans="1:12" x14ac:dyDescent="0.3">
      <c r="A125">
        <v>5</v>
      </c>
      <c r="B125">
        <v>2</v>
      </c>
      <c r="C125">
        <v>2</v>
      </c>
      <c r="D125">
        <v>5</v>
      </c>
      <c r="E125">
        <v>4</v>
      </c>
      <c r="F125">
        <v>2</v>
      </c>
      <c r="G125">
        <v>5</v>
      </c>
      <c r="H125">
        <v>5</v>
      </c>
      <c r="I125">
        <v>5</v>
      </c>
      <c r="J125">
        <v>5</v>
      </c>
      <c r="K125">
        <v>4</v>
      </c>
      <c r="L125">
        <v>5</v>
      </c>
    </row>
    <row r="126" spans="1:12" x14ac:dyDescent="0.3">
      <c r="A126">
        <v>3</v>
      </c>
      <c r="B126">
        <v>2</v>
      </c>
      <c r="C126">
        <v>2</v>
      </c>
      <c r="D126">
        <v>3</v>
      </c>
      <c r="E126">
        <v>2</v>
      </c>
      <c r="F126">
        <v>3</v>
      </c>
      <c r="G126">
        <v>5</v>
      </c>
      <c r="H126">
        <v>5</v>
      </c>
      <c r="I126">
        <v>3</v>
      </c>
      <c r="J126">
        <v>5</v>
      </c>
      <c r="K126">
        <v>4</v>
      </c>
      <c r="L126">
        <v>5</v>
      </c>
    </row>
    <row r="127" spans="1:12" x14ac:dyDescent="0.3">
      <c r="A127">
        <v>6</v>
      </c>
      <c r="B127">
        <v>2</v>
      </c>
      <c r="C127">
        <v>3</v>
      </c>
      <c r="D127">
        <v>5</v>
      </c>
      <c r="E127">
        <v>4</v>
      </c>
      <c r="F127">
        <v>2</v>
      </c>
      <c r="G127">
        <v>4</v>
      </c>
      <c r="H127">
        <v>5</v>
      </c>
      <c r="I127">
        <v>5</v>
      </c>
      <c r="J127">
        <v>5</v>
      </c>
      <c r="K127">
        <v>4</v>
      </c>
      <c r="L127">
        <v>5</v>
      </c>
    </row>
    <row r="128" spans="1:12" x14ac:dyDescent="0.3">
      <c r="A128">
        <v>3</v>
      </c>
      <c r="B128">
        <v>2</v>
      </c>
      <c r="C128">
        <v>2</v>
      </c>
      <c r="D128">
        <v>2</v>
      </c>
      <c r="E128">
        <v>2</v>
      </c>
      <c r="F128">
        <v>3</v>
      </c>
      <c r="G128">
        <v>1</v>
      </c>
      <c r="H128">
        <v>2</v>
      </c>
      <c r="I128">
        <v>5</v>
      </c>
      <c r="J128">
        <v>3</v>
      </c>
      <c r="K128">
        <v>2</v>
      </c>
      <c r="L128">
        <v>4</v>
      </c>
    </row>
    <row r="129" spans="1:12" x14ac:dyDescent="0.3">
      <c r="A129">
        <v>3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3</v>
      </c>
      <c r="H129">
        <v>5</v>
      </c>
      <c r="I129">
        <v>5</v>
      </c>
      <c r="J129">
        <v>5</v>
      </c>
      <c r="K129">
        <v>5</v>
      </c>
      <c r="L129">
        <v>3</v>
      </c>
    </row>
    <row r="130" spans="1:12" x14ac:dyDescent="0.3">
      <c r="A130">
        <v>4</v>
      </c>
      <c r="B130">
        <v>2</v>
      </c>
      <c r="C130">
        <v>1</v>
      </c>
      <c r="D130">
        <v>4</v>
      </c>
      <c r="E130">
        <v>1</v>
      </c>
      <c r="F130">
        <v>2</v>
      </c>
      <c r="G130">
        <v>1</v>
      </c>
      <c r="H130">
        <v>1</v>
      </c>
      <c r="I130">
        <v>5</v>
      </c>
      <c r="J130">
        <v>5</v>
      </c>
      <c r="K130">
        <v>2</v>
      </c>
      <c r="L130">
        <v>5</v>
      </c>
    </row>
    <row r="131" spans="1:12" x14ac:dyDescent="0.3">
      <c r="A131">
        <v>5</v>
      </c>
      <c r="B131">
        <v>2</v>
      </c>
      <c r="C131">
        <v>2</v>
      </c>
      <c r="D131">
        <v>2</v>
      </c>
      <c r="E131">
        <v>3</v>
      </c>
      <c r="F131">
        <v>2</v>
      </c>
      <c r="G131">
        <v>5</v>
      </c>
      <c r="H131">
        <v>5</v>
      </c>
      <c r="I131">
        <v>5</v>
      </c>
      <c r="J131">
        <v>5</v>
      </c>
      <c r="K131">
        <v>3</v>
      </c>
      <c r="L131">
        <v>5</v>
      </c>
    </row>
    <row r="132" spans="1:12" x14ac:dyDescent="0.3">
      <c r="A132">
        <v>4</v>
      </c>
      <c r="B132">
        <v>2</v>
      </c>
      <c r="C132">
        <v>3</v>
      </c>
      <c r="D132">
        <v>3</v>
      </c>
      <c r="E132">
        <v>2</v>
      </c>
      <c r="F132">
        <v>2</v>
      </c>
      <c r="G132">
        <v>4</v>
      </c>
      <c r="H132">
        <v>4</v>
      </c>
      <c r="I132">
        <v>5</v>
      </c>
      <c r="J132">
        <v>5</v>
      </c>
      <c r="K132">
        <v>5</v>
      </c>
      <c r="L132">
        <v>4</v>
      </c>
    </row>
    <row r="133" spans="1:12" x14ac:dyDescent="0.3">
      <c r="A133">
        <v>3</v>
      </c>
      <c r="B133">
        <v>2</v>
      </c>
      <c r="C133">
        <v>2</v>
      </c>
      <c r="D133">
        <v>2</v>
      </c>
      <c r="E133">
        <v>3</v>
      </c>
      <c r="F133">
        <v>2</v>
      </c>
      <c r="G133">
        <v>3</v>
      </c>
      <c r="H133">
        <v>4</v>
      </c>
      <c r="I133">
        <v>5</v>
      </c>
      <c r="J133">
        <v>4</v>
      </c>
      <c r="K133">
        <v>2</v>
      </c>
      <c r="L133">
        <v>5</v>
      </c>
    </row>
    <row r="134" spans="1:12" x14ac:dyDescent="0.3">
      <c r="A134">
        <v>2</v>
      </c>
      <c r="B134">
        <v>1</v>
      </c>
      <c r="C134">
        <v>1</v>
      </c>
      <c r="D134">
        <v>1</v>
      </c>
      <c r="E134">
        <v>1</v>
      </c>
      <c r="F134">
        <v>2</v>
      </c>
      <c r="G134">
        <v>4</v>
      </c>
      <c r="H134">
        <v>4</v>
      </c>
      <c r="I134">
        <v>4</v>
      </c>
      <c r="J134">
        <v>4</v>
      </c>
      <c r="K134">
        <v>3</v>
      </c>
      <c r="L134">
        <v>3</v>
      </c>
    </row>
    <row r="135" spans="1:12" x14ac:dyDescent="0.3">
      <c r="A135">
        <v>5</v>
      </c>
      <c r="B135">
        <v>2</v>
      </c>
      <c r="C135">
        <v>1</v>
      </c>
      <c r="D135">
        <v>2</v>
      </c>
      <c r="E135">
        <v>1</v>
      </c>
      <c r="F135">
        <v>1</v>
      </c>
      <c r="G135">
        <v>3</v>
      </c>
      <c r="H135">
        <v>4</v>
      </c>
      <c r="I135">
        <v>3</v>
      </c>
      <c r="J135">
        <v>5</v>
      </c>
      <c r="K135">
        <v>3</v>
      </c>
      <c r="L135">
        <v>5</v>
      </c>
    </row>
    <row r="136" spans="1:12" x14ac:dyDescent="0.3">
      <c r="A136">
        <v>4</v>
      </c>
      <c r="B136">
        <v>2</v>
      </c>
      <c r="C136">
        <v>3</v>
      </c>
      <c r="D136">
        <v>4</v>
      </c>
      <c r="E136">
        <v>3</v>
      </c>
      <c r="F136">
        <v>2</v>
      </c>
      <c r="G136">
        <v>4</v>
      </c>
      <c r="H136">
        <v>4</v>
      </c>
      <c r="I136">
        <v>5</v>
      </c>
      <c r="J136">
        <v>5</v>
      </c>
      <c r="K136">
        <v>4</v>
      </c>
      <c r="L136">
        <v>5</v>
      </c>
    </row>
    <row r="137" spans="1:12" x14ac:dyDescent="0.3">
      <c r="A137">
        <v>3</v>
      </c>
      <c r="B137">
        <v>2</v>
      </c>
      <c r="C137">
        <v>2</v>
      </c>
      <c r="D137">
        <v>3</v>
      </c>
      <c r="E137">
        <v>2</v>
      </c>
      <c r="F137">
        <v>2</v>
      </c>
      <c r="G137">
        <v>4</v>
      </c>
      <c r="H137">
        <v>4</v>
      </c>
      <c r="I137">
        <v>4</v>
      </c>
      <c r="J137">
        <v>4</v>
      </c>
      <c r="K137">
        <v>5</v>
      </c>
      <c r="L137">
        <v>4</v>
      </c>
    </row>
  </sheetData>
  <mergeCells count="2">
    <mergeCell ref="P1:U1"/>
    <mergeCell ref="P17:U17"/>
  </mergeCells>
  <hyperlinks>
    <hyperlink ref="V4:V9" r:id="rId1" display="=@sum(P3:U3"/>
    <hyperlink ref="P9" r:id="rId2" display="=@sum(P3:P8"/>
    <hyperlink ref="Q9:V9" r:id="rId3" display="=@sum(P3:P8"/>
    <hyperlink ref="V20:V25" r:id="rId4" display="=@sum(P3:U3"/>
    <hyperlink ref="P25" r:id="rId5" display="=@sum(P3:P8"/>
    <hyperlink ref="Q25:V25" r:id="rId6" display="=@sum(P3:P8"/>
    <hyperlink ref="V19" r:id="rId7" display="=@sum(P19:U19)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7"/>
  <sheetViews>
    <sheetView topLeftCell="W8" workbookViewId="0">
      <selection activeCell="AG15" sqref="AG15:AM15"/>
    </sheetView>
  </sheetViews>
  <sheetFormatPr defaultRowHeight="14.4" x14ac:dyDescent="0.3"/>
  <cols>
    <col min="1" max="1" width="4.88671875" customWidth="1"/>
    <col min="2" max="2" width="7.5546875" customWidth="1"/>
    <col min="3" max="3" width="8.33203125" customWidth="1"/>
    <col min="4" max="4" width="10.88671875" bestFit="1" customWidth="1"/>
    <col min="5" max="5" width="9.6640625" bestFit="1" customWidth="1"/>
    <col min="6" max="6" width="8.21875" customWidth="1"/>
    <col min="7" max="12" width="12.33203125" customWidth="1"/>
    <col min="42" max="42" width="11" customWidth="1"/>
  </cols>
  <sheetData>
    <row r="1" spans="1:44" x14ac:dyDescent="0.3">
      <c r="A1" s="55" t="s">
        <v>96</v>
      </c>
      <c r="B1" s="55" t="s">
        <v>4</v>
      </c>
      <c r="C1" s="55" t="s">
        <v>5</v>
      </c>
      <c r="D1" s="55" t="s">
        <v>6</v>
      </c>
      <c r="E1" s="55" t="s">
        <v>7</v>
      </c>
      <c r="F1" s="55" t="s">
        <v>134</v>
      </c>
      <c r="G1" s="55" t="s">
        <v>140</v>
      </c>
      <c r="H1" s="55" t="s">
        <v>141</v>
      </c>
      <c r="I1" s="55" t="s">
        <v>136</v>
      </c>
      <c r="J1" s="55" t="s">
        <v>137</v>
      </c>
      <c r="K1" s="55" t="s">
        <v>138</v>
      </c>
      <c r="L1" s="55" t="s">
        <v>139</v>
      </c>
      <c r="P1" s="106" t="s">
        <v>343</v>
      </c>
      <c r="Q1" s="106"/>
      <c r="R1" s="106"/>
      <c r="S1" s="106"/>
      <c r="T1" s="106"/>
      <c r="U1" s="106"/>
      <c r="Y1" s="106" t="s">
        <v>377</v>
      </c>
      <c r="Z1" s="106"/>
      <c r="AA1" s="106"/>
      <c r="AB1" s="106"/>
      <c r="AC1" s="106"/>
      <c r="AD1" s="106"/>
      <c r="AH1" s="106" t="s">
        <v>341</v>
      </c>
      <c r="AI1" s="106"/>
      <c r="AJ1" s="106"/>
      <c r="AK1" s="106"/>
      <c r="AL1" s="106"/>
      <c r="AM1" s="106"/>
    </row>
    <row r="2" spans="1:44" ht="15.6" x14ac:dyDescent="0.3">
      <c r="A2">
        <v>3</v>
      </c>
      <c r="B2">
        <v>2</v>
      </c>
      <c r="C2">
        <v>2</v>
      </c>
      <c r="D2">
        <v>2</v>
      </c>
      <c r="E2">
        <v>2</v>
      </c>
      <c r="F2">
        <v>3</v>
      </c>
      <c r="G2">
        <v>3</v>
      </c>
      <c r="H2">
        <v>5</v>
      </c>
      <c r="I2">
        <v>4</v>
      </c>
      <c r="J2">
        <v>3</v>
      </c>
      <c r="K2">
        <v>4</v>
      </c>
      <c r="L2">
        <v>2</v>
      </c>
      <c r="O2" s="11" t="s">
        <v>5</v>
      </c>
      <c r="P2" s="10">
        <v>1</v>
      </c>
      <c r="Q2" s="10">
        <v>2</v>
      </c>
      <c r="R2" s="10">
        <v>3</v>
      </c>
      <c r="S2" s="10">
        <v>4</v>
      </c>
      <c r="T2" s="10">
        <v>5</v>
      </c>
      <c r="U2" s="10"/>
      <c r="V2" s="44"/>
      <c r="X2" s="11" t="s">
        <v>5</v>
      </c>
      <c r="Y2" s="10">
        <v>1</v>
      </c>
      <c r="Z2" s="10">
        <v>2</v>
      </c>
      <c r="AA2" s="10">
        <v>3</v>
      </c>
      <c r="AB2" s="10">
        <v>4</v>
      </c>
      <c r="AC2" s="10">
        <v>5</v>
      </c>
      <c r="AD2" s="10"/>
      <c r="AE2" s="44"/>
      <c r="AG2" s="11" t="s">
        <v>5</v>
      </c>
      <c r="AH2" s="10">
        <v>1</v>
      </c>
      <c r="AI2" s="10">
        <v>2</v>
      </c>
      <c r="AJ2" s="10">
        <v>3</v>
      </c>
      <c r="AK2" s="10">
        <v>4</v>
      </c>
      <c r="AL2" s="10">
        <v>5</v>
      </c>
      <c r="AM2" s="10"/>
      <c r="AN2" s="44"/>
    </row>
    <row r="3" spans="1:44" ht="15.6" x14ac:dyDescent="0.3">
      <c r="A3">
        <v>5</v>
      </c>
      <c r="B3">
        <v>2</v>
      </c>
      <c r="C3">
        <v>3</v>
      </c>
      <c r="D3">
        <v>5</v>
      </c>
      <c r="E3">
        <v>4</v>
      </c>
      <c r="F3">
        <v>2</v>
      </c>
      <c r="G3">
        <v>3</v>
      </c>
      <c r="H3">
        <v>5</v>
      </c>
      <c r="I3">
        <v>4</v>
      </c>
      <c r="J3">
        <v>3</v>
      </c>
      <c r="K3">
        <v>4</v>
      </c>
      <c r="L3">
        <v>3</v>
      </c>
      <c r="O3" s="42">
        <v>1</v>
      </c>
      <c r="P3">
        <f>COUNTIFS($C$2:$C$137,"1",$G$2:$G$137,"1")</f>
        <v>1</v>
      </c>
      <c r="Q3">
        <f>COUNTIFS($C$2:$C$137,"1",$G$2:$G$137,"2")</f>
        <v>4</v>
      </c>
      <c r="R3">
        <f>COUNTIFS($C$2:$C$137,"1",$G$2:$G$137,"3")</f>
        <v>10</v>
      </c>
      <c r="S3">
        <f>COUNTIFS($C$2:$C$137,"1",$G$2:$G$137,"4")</f>
        <v>13</v>
      </c>
      <c r="T3">
        <f>COUNTIFS($C$2:$C$137,"1",$G$2:$G$137,"5")</f>
        <v>8</v>
      </c>
      <c r="U3" s="56">
        <f>SUM(P3:T3)</f>
        <v>36</v>
      </c>
      <c r="V3" s="43"/>
      <c r="X3" s="42">
        <v>1</v>
      </c>
      <c r="Y3">
        <f t="shared" ref="Y3:AC5" si="0">($U3*P$6)/$U$6</f>
        <v>0.79411764705882348</v>
      </c>
      <c r="Z3">
        <f t="shared" si="0"/>
        <v>3.9705882352941178</v>
      </c>
      <c r="AA3">
        <f t="shared" si="0"/>
        <v>11.647058823529411</v>
      </c>
      <c r="AB3">
        <f t="shared" si="0"/>
        <v>12.970588235294118</v>
      </c>
      <c r="AC3">
        <f t="shared" si="0"/>
        <v>6.617647058823529</v>
      </c>
      <c r="AD3" s="54">
        <f>SUM(Y3:AC3)</f>
        <v>36</v>
      </c>
      <c r="AE3" s="43"/>
      <c r="AG3" s="42">
        <v>1</v>
      </c>
      <c r="AH3" s="3">
        <f t="shared" ref="AH3:AL5" si="1">(P3-Y3)^2/Y3</f>
        <v>5.3376906318082812E-2</v>
      </c>
      <c r="AI3" s="3">
        <f t="shared" si="1"/>
        <v>2.1786492374727514E-4</v>
      </c>
      <c r="AJ3" s="3">
        <f t="shared" si="1"/>
        <v>0.23291740938799751</v>
      </c>
      <c r="AK3" s="3">
        <f t="shared" si="1"/>
        <v>6.6693344004267895E-5</v>
      </c>
      <c r="AL3" s="3">
        <f t="shared" si="1"/>
        <v>0.28875816993464071</v>
      </c>
      <c r="AM3" s="54">
        <f>SUM(AH3:AL3)</f>
        <v>0.57533704390847262</v>
      </c>
      <c r="AN3" s="43"/>
      <c r="AP3" s="2" t="s">
        <v>204</v>
      </c>
      <c r="AQ3">
        <v>0.05</v>
      </c>
    </row>
    <row r="4" spans="1:44" ht="15.6" x14ac:dyDescent="0.3">
      <c r="A4">
        <v>3</v>
      </c>
      <c r="B4">
        <v>2</v>
      </c>
      <c r="C4">
        <v>2</v>
      </c>
      <c r="D4">
        <v>3</v>
      </c>
      <c r="E4">
        <v>2</v>
      </c>
      <c r="F4">
        <v>2</v>
      </c>
      <c r="G4">
        <v>2</v>
      </c>
      <c r="H4">
        <v>3</v>
      </c>
      <c r="I4">
        <v>4</v>
      </c>
      <c r="J4">
        <v>3</v>
      </c>
      <c r="K4">
        <v>4</v>
      </c>
      <c r="L4">
        <v>2</v>
      </c>
      <c r="O4" s="42">
        <v>2</v>
      </c>
      <c r="P4">
        <f>COUNTIFS($C$2:$C$137,"2",$G$2:$G$137,"1")</f>
        <v>1</v>
      </c>
      <c r="Q4">
        <f>COUNTIFS($C$2:$C$137,"2",$G$2:$G$137,"2")</f>
        <v>10</v>
      </c>
      <c r="R4">
        <f>COUNTIFS($C$2:$C$137,"2",$G$2:$G$137,"3")</f>
        <v>24</v>
      </c>
      <c r="S4">
        <f>COUNTIFS($C$2:$C$137,"2",$G$2:$G$137,"4")</f>
        <v>29</v>
      </c>
      <c r="T4">
        <f>COUNTIFS($C$2:$C$137,"2",$G$2:$G$137,"5")</f>
        <v>15</v>
      </c>
      <c r="U4" s="56">
        <f>SUM(P4:T4)</f>
        <v>79</v>
      </c>
      <c r="V4" s="43"/>
      <c r="X4" s="42">
        <v>2</v>
      </c>
      <c r="Y4">
        <f t="shared" si="0"/>
        <v>1.7426470588235294</v>
      </c>
      <c r="Z4">
        <f t="shared" si="0"/>
        <v>8.7132352941176467</v>
      </c>
      <c r="AA4">
        <f t="shared" si="0"/>
        <v>25.558823529411764</v>
      </c>
      <c r="AB4">
        <f t="shared" si="0"/>
        <v>28.463235294117649</v>
      </c>
      <c r="AC4">
        <f t="shared" si="0"/>
        <v>14.522058823529411</v>
      </c>
      <c r="AD4" s="54">
        <f>SUM(Y4:AC4)</f>
        <v>79</v>
      </c>
      <c r="AE4" s="43"/>
      <c r="AG4" s="42">
        <v>2</v>
      </c>
      <c r="AH4" s="3">
        <f t="shared" si="1"/>
        <v>0.31648672127078681</v>
      </c>
      <c r="AI4" s="3">
        <f t="shared" si="1"/>
        <v>0.19002854306279482</v>
      </c>
      <c r="AJ4" s="3">
        <f t="shared" si="1"/>
        <v>9.5072090976781931E-2</v>
      </c>
      <c r="AK4" s="3">
        <f t="shared" si="1"/>
        <v>1.0122403391736387E-2</v>
      </c>
      <c r="AL4" s="3">
        <f t="shared" si="1"/>
        <v>1.5729709605361169E-2</v>
      </c>
      <c r="AM4" s="54">
        <f>SUM(AH4:AL4)</f>
        <v>0.62743946830746111</v>
      </c>
      <c r="AN4" s="43"/>
      <c r="AP4" s="2" t="s">
        <v>205</v>
      </c>
      <c r="AQ4">
        <f>2*4</f>
        <v>8</v>
      </c>
    </row>
    <row r="5" spans="1:44" ht="15.6" x14ac:dyDescent="0.3">
      <c r="A5">
        <v>5</v>
      </c>
      <c r="B5">
        <v>2</v>
      </c>
      <c r="C5">
        <v>3</v>
      </c>
      <c r="D5">
        <v>5</v>
      </c>
      <c r="E5">
        <v>4</v>
      </c>
      <c r="F5">
        <v>2</v>
      </c>
      <c r="G5">
        <v>3</v>
      </c>
      <c r="H5">
        <v>3</v>
      </c>
      <c r="I5">
        <v>5</v>
      </c>
      <c r="J5">
        <v>3</v>
      </c>
      <c r="K5">
        <v>3</v>
      </c>
      <c r="L5">
        <v>3</v>
      </c>
      <c r="O5" s="42">
        <v>3</v>
      </c>
      <c r="P5">
        <f>COUNTIFS($C$2:$C$137,"3",$G$2:$G$137,"1")</f>
        <v>1</v>
      </c>
      <c r="Q5">
        <f>COUNTIFS($C$2:$C$137,"3",$G$2:$G$137,"2")</f>
        <v>1</v>
      </c>
      <c r="R5">
        <f>COUNTIFS($C$2:$C$137,"3",$G$2:$G$137,"3")</f>
        <v>10</v>
      </c>
      <c r="S5">
        <f>COUNTIFS($C$2:$C$137,"3",$G$2:$G$137,"4")</f>
        <v>7</v>
      </c>
      <c r="T5">
        <f>COUNTIFS($C$2:$C$137,"3",$G$2:$G$137,"5")</f>
        <v>2</v>
      </c>
      <c r="U5" s="56">
        <f>SUM(P5:T5)</f>
        <v>21</v>
      </c>
      <c r="V5" s="43"/>
      <c r="X5" s="42">
        <v>3</v>
      </c>
      <c r="Y5">
        <f t="shared" si="0"/>
        <v>0.46323529411764708</v>
      </c>
      <c r="Z5">
        <f t="shared" si="0"/>
        <v>2.3161764705882355</v>
      </c>
      <c r="AA5">
        <f t="shared" si="0"/>
        <v>6.7941176470588234</v>
      </c>
      <c r="AB5">
        <f t="shared" si="0"/>
        <v>7.5661764705882355</v>
      </c>
      <c r="AC5">
        <f t="shared" si="0"/>
        <v>3.8602941176470589</v>
      </c>
      <c r="AD5" s="54">
        <f>SUM(Y5:AC5)</f>
        <v>21</v>
      </c>
      <c r="AE5" s="43"/>
      <c r="AG5" s="42">
        <v>3</v>
      </c>
      <c r="AH5" s="3">
        <f t="shared" si="1"/>
        <v>0.62196545284780569</v>
      </c>
      <c r="AI5" s="3">
        <f t="shared" si="1"/>
        <v>0.74792250233426727</v>
      </c>
      <c r="AJ5" s="3">
        <f t="shared" si="1"/>
        <v>1.5127323656735423</v>
      </c>
      <c r="AK5" s="3">
        <f t="shared" si="1"/>
        <v>4.2366946778711514E-2</v>
      </c>
      <c r="AL5" s="3">
        <f t="shared" si="1"/>
        <v>0.89648459383753509</v>
      </c>
      <c r="AM5" s="56">
        <f>SUM(AH5:AL5)</f>
        <v>3.8214718614718617</v>
      </c>
      <c r="AN5" s="43"/>
      <c r="AP5" s="2" t="s">
        <v>202</v>
      </c>
      <c r="AQ5" s="45">
        <f>SUM(AH3:AL5)</f>
        <v>5.0242483736877954</v>
      </c>
    </row>
    <row r="6" spans="1:44" ht="18" x14ac:dyDescent="0.35">
      <c r="A6">
        <v>5</v>
      </c>
      <c r="B6">
        <v>2</v>
      </c>
      <c r="C6">
        <v>3</v>
      </c>
      <c r="D6">
        <v>5</v>
      </c>
      <c r="E6">
        <v>4</v>
      </c>
      <c r="F6">
        <v>1</v>
      </c>
      <c r="G6">
        <v>3</v>
      </c>
      <c r="H6">
        <v>4</v>
      </c>
      <c r="I6">
        <v>3</v>
      </c>
      <c r="J6">
        <v>3</v>
      </c>
      <c r="K6">
        <v>3</v>
      </c>
      <c r="L6">
        <v>3</v>
      </c>
      <c r="O6" s="42"/>
      <c r="P6" s="54">
        <f t="shared" ref="P6:U6" si="2">SUM(P3:P5)</f>
        <v>3</v>
      </c>
      <c r="Q6" s="54">
        <f t="shared" si="2"/>
        <v>15</v>
      </c>
      <c r="R6" s="54">
        <f t="shared" si="2"/>
        <v>44</v>
      </c>
      <c r="S6" s="54">
        <f t="shared" si="2"/>
        <v>49</v>
      </c>
      <c r="T6" s="54">
        <f t="shared" si="2"/>
        <v>25</v>
      </c>
      <c r="U6" s="59">
        <f t="shared" si="2"/>
        <v>136</v>
      </c>
      <c r="V6" s="43"/>
      <c r="X6" s="61"/>
      <c r="Y6" s="54">
        <f t="shared" ref="Y6:AD6" si="3">SUM(Y3:Y5)</f>
        <v>3</v>
      </c>
      <c r="Z6" s="54">
        <f t="shared" si="3"/>
        <v>15</v>
      </c>
      <c r="AA6" s="54">
        <f t="shared" si="3"/>
        <v>44</v>
      </c>
      <c r="AB6" s="54">
        <f t="shared" si="3"/>
        <v>49</v>
      </c>
      <c r="AC6" s="54">
        <f t="shared" si="3"/>
        <v>25</v>
      </c>
      <c r="AD6" s="45">
        <f t="shared" si="3"/>
        <v>136</v>
      </c>
      <c r="AE6" s="43"/>
      <c r="AG6" s="61"/>
      <c r="AH6" s="54">
        <f t="shared" ref="AH6:AM6" si="4">SUM(AH3:AH5)</f>
        <v>0.99182908043667528</v>
      </c>
      <c r="AI6" s="54">
        <f t="shared" si="4"/>
        <v>0.9381689103208094</v>
      </c>
      <c r="AJ6" s="54">
        <f t="shared" si="4"/>
        <v>1.8407218660383218</v>
      </c>
      <c r="AK6" s="54">
        <f t="shared" si="4"/>
        <v>5.2556043514452172E-2</v>
      </c>
      <c r="AL6" s="54">
        <f t="shared" si="4"/>
        <v>1.2009724733775369</v>
      </c>
      <c r="AM6" s="45">
        <f t="shared" si="4"/>
        <v>5.0242483736877954</v>
      </c>
      <c r="AN6" s="43"/>
      <c r="AP6" s="2" t="s">
        <v>203</v>
      </c>
      <c r="AQ6" s="50">
        <v>15.51</v>
      </c>
    </row>
    <row r="7" spans="1:44" ht="15.6" x14ac:dyDescent="0.3">
      <c r="A7">
        <v>3</v>
      </c>
      <c r="B7">
        <v>2</v>
      </c>
      <c r="C7">
        <v>2</v>
      </c>
      <c r="D7">
        <v>2</v>
      </c>
      <c r="E7">
        <v>2</v>
      </c>
      <c r="F7">
        <v>2</v>
      </c>
      <c r="G7">
        <v>3</v>
      </c>
      <c r="H7">
        <v>4</v>
      </c>
      <c r="I7">
        <v>5</v>
      </c>
      <c r="J7">
        <v>5</v>
      </c>
      <c r="K7">
        <v>2</v>
      </c>
      <c r="L7">
        <v>3</v>
      </c>
      <c r="O7" s="42"/>
      <c r="U7" s="43"/>
      <c r="V7" s="43"/>
      <c r="X7" s="61"/>
      <c r="AD7" s="43"/>
      <c r="AE7" s="43"/>
      <c r="AG7" s="61"/>
      <c r="AM7" s="45"/>
      <c r="AN7" s="43"/>
      <c r="AP7" s="2" t="s">
        <v>206</v>
      </c>
      <c r="AQ7">
        <f>_xlfn.CHISQ.DIST.RT(AQ5,AQ4)</f>
        <v>0.75498131606032759</v>
      </c>
      <c r="AR7" t="s">
        <v>220</v>
      </c>
    </row>
    <row r="8" spans="1:44" ht="15.6" x14ac:dyDescent="0.3">
      <c r="A8">
        <v>5</v>
      </c>
      <c r="B8">
        <v>2</v>
      </c>
      <c r="C8">
        <v>2</v>
      </c>
      <c r="D8">
        <v>5</v>
      </c>
      <c r="E8">
        <v>2</v>
      </c>
      <c r="F8">
        <v>2</v>
      </c>
      <c r="G8">
        <v>4</v>
      </c>
      <c r="H8">
        <v>4</v>
      </c>
      <c r="I8">
        <v>5</v>
      </c>
      <c r="J8">
        <v>4</v>
      </c>
      <c r="K8">
        <v>4</v>
      </c>
      <c r="L8">
        <v>5</v>
      </c>
      <c r="O8" s="42"/>
      <c r="U8" s="43"/>
      <c r="V8" s="43"/>
      <c r="X8" s="61"/>
      <c r="AD8" s="43"/>
      <c r="AE8" s="43"/>
      <c r="AG8" s="61"/>
      <c r="AM8" s="45"/>
      <c r="AN8" s="43"/>
      <c r="AP8" t="s">
        <v>208</v>
      </c>
    </row>
    <row r="9" spans="1:44" ht="18" x14ac:dyDescent="0.35">
      <c r="A9">
        <v>6</v>
      </c>
      <c r="B9">
        <v>2</v>
      </c>
      <c r="C9">
        <v>2</v>
      </c>
      <c r="D9">
        <v>5</v>
      </c>
      <c r="E9">
        <v>3</v>
      </c>
      <c r="F9">
        <v>2</v>
      </c>
      <c r="G9">
        <v>4</v>
      </c>
      <c r="H9">
        <v>4</v>
      </c>
      <c r="I9">
        <v>5</v>
      </c>
      <c r="J9">
        <v>3</v>
      </c>
      <c r="K9">
        <v>4</v>
      </c>
      <c r="L9">
        <v>3</v>
      </c>
      <c r="V9" s="46"/>
      <c r="Y9" s="43"/>
      <c r="Z9" s="43"/>
      <c r="AA9" s="43"/>
      <c r="AB9" s="43"/>
      <c r="AC9" s="43"/>
      <c r="AD9" s="43"/>
      <c r="AE9" s="46"/>
      <c r="AH9" s="43"/>
      <c r="AI9" s="43"/>
      <c r="AJ9" s="43"/>
      <c r="AK9" s="43"/>
      <c r="AL9" s="43"/>
      <c r="AM9" s="45"/>
      <c r="AN9" s="46"/>
      <c r="AP9" s="2" t="s">
        <v>336</v>
      </c>
      <c r="AQ9">
        <f>MIN(5,3)-1</f>
        <v>2</v>
      </c>
    </row>
    <row r="10" spans="1:44" x14ac:dyDescent="0.3">
      <c r="A10">
        <v>6</v>
      </c>
      <c r="B10">
        <v>2</v>
      </c>
      <c r="C10">
        <v>1</v>
      </c>
      <c r="D10">
        <v>5</v>
      </c>
      <c r="E10">
        <v>2</v>
      </c>
      <c r="F10">
        <v>1</v>
      </c>
      <c r="G10">
        <v>4</v>
      </c>
      <c r="H10">
        <v>3</v>
      </c>
      <c r="I10">
        <v>4</v>
      </c>
      <c r="J10">
        <v>2</v>
      </c>
      <c r="K10">
        <v>4</v>
      </c>
      <c r="L10">
        <v>3</v>
      </c>
      <c r="AP10" s="2" t="s">
        <v>309</v>
      </c>
      <c r="AQ10">
        <v>136</v>
      </c>
    </row>
    <row r="11" spans="1:44" ht="15.6" x14ac:dyDescent="0.3">
      <c r="A11">
        <v>5</v>
      </c>
      <c r="B11">
        <v>2</v>
      </c>
      <c r="C11">
        <v>2</v>
      </c>
      <c r="D11">
        <v>5</v>
      </c>
      <c r="E11">
        <v>4</v>
      </c>
      <c r="F11">
        <v>2</v>
      </c>
      <c r="G11">
        <v>3</v>
      </c>
      <c r="H11">
        <v>4</v>
      </c>
      <c r="I11">
        <v>4</v>
      </c>
      <c r="J11">
        <v>3</v>
      </c>
      <c r="K11">
        <v>4</v>
      </c>
      <c r="L11">
        <v>4</v>
      </c>
      <c r="AP11" s="2" t="s">
        <v>299</v>
      </c>
      <c r="AQ11" s="50">
        <f>SQRT(AQ5/($AQ$9*$AQ$10))</f>
        <v>0.1359099016770014</v>
      </c>
      <c r="AR11" t="s">
        <v>337</v>
      </c>
    </row>
    <row r="12" spans="1:44" x14ac:dyDescent="0.3">
      <c r="A12">
        <v>3</v>
      </c>
      <c r="B12">
        <v>2</v>
      </c>
      <c r="C12">
        <v>2</v>
      </c>
      <c r="D12">
        <v>3</v>
      </c>
      <c r="E12">
        <v>2</v>
      </c>
      <c r="F12">
        <v>2</v>
      </c>
      <c r="G12">
        <v>4</v>
      </c>
      <c r="H12">
        <v>5</v>
      </c>
      <c r="I12">
        <v>4</v>
      </c>
      <c r="J12">
        <v>4</v>
      </c>
      <c r="K12">
        <v>4</v>
      </c>
      <c r="L12">
        <v>5</v>
      </c>
    </row>
    <row r="13" spans="1:44" x14ac:dyDescent="0.3">
      <c r="A13">
        <v>4</v>
      </c>
      <c r="B13">
        <v>2</v>
      </c>
      <c r="C13">
        <v>1</v>
      </c>
      <c r="D13">
        <v>2</v>
      </c>
      <c r="E13">
        <v>1</v>
      </c>
      <c r="F13">
        <v>3</v>
      </c>
      <c r="G13">
        <v>5</v>
      </c>
      <c r="H13">
        <v>5</v>
      </c>
      <c r="I13">
        <v>5</v>
      </c>
      <c r="J13">
        <v>3</v>
      </c>
      <c r="K13">
        <v>5</v>
      </c>
      <c r="L13">
        <v>2</v>
      </c>
    </row>
    <row r="14" spans="1:44" x14ac:dyDescent="0.3">
      <c r="A14">
        <v>4</v>
      </c>
      <c r="B14">
        <v>2</v>
      </c>
      <c r="C14">
        <v>2</v>
      </c>
      <c r="D14">
        <v>2</v>
      </c>
      <c r="E14">
        <v>3</v>
      </c>
      <c r="F14">
        <v>2</v>
      </c>
      <c r="G14">
        <v>5</v>
      </c>
      <c r="H14">
        <v>5</v>
      </c>
      <c r="I14">
        <v>4</v>
      </c>
      <c r="J14">
        <v>4</v>
      </c>
      <c r="K14">
        <v>3</v>
      </c>
      <c r="L14">
        <v>3</v>
      </c>
    </row>
    <row r="15" spans="1:44" x14ac:dyDescent="0.3">
      <c r="A15">
        <v>4</v>
      </c>
      <c r="B15">
        <v>2</v>
      </c>
      <c r="C15">
        <v>1</v>
      </c>
      <c r="D15">
        <v>1</v>
      </c>
      <c r="E15">
        <v>1</v>
      </c>
      <c r="F15">
        <v>2</v>
      </c>
      <c r="G15">
        <v>3</v>
      </c>
      <c r="H15">
        <v>2</v>
      </c>
      <c r="I15">
        <v>4</v>
      </c>
      <c r="J15">
        <v>2</v>
      </c>
      <c r="K15">
        <v>3</v>
      </c>
      <c r="L15">
        <v>2</v>
      </c>
      <c r="P15" s="106" t="s">
        <v>359</v>
      </c>
      <c r="Q15" s="106"/>
      <c r="R15" s="106"/>
      <c r="S15" s="106"/>
      <c r="T15" s="106"/>
      <c r="U15" s="106"/>
      <c r="Y15" s="106" t="s">
        <v>361</v>
      </c>
      <c r="Z15" s="106"/>
      <c r="AA15" s="106"/>
      <c r="AB15" s="106"/>
      <c r="AC15" s="106"/>
      <c r="AD15" s="106"/>
      <c r="AG15" s="106" t="s">
        <v>353</v>
      </c>
      <c r="AH15" s="106"/>
      <c r="AI15" s="106"/>
      <c r="AJ15" s="106"/>
      <c r="AK15" s="106"/>
      <c r="AL15" s="106"/>
      <c r="AM15" s="106"/>
      <c r="AP15" s="2" t="s">
        <v>204</v>
      </c>
      <c r="AQ15">
        <v>0.05</v>
      </c>
    </row>
    <row r="16" spans="1:44" ht="15.6" x14ac:dyDescent="0.3">
      <c r="A16">
        <v>5</v>
      </c>
      <c r="B16">
        <v>2</v>
      </c>
      <c r="C16">
        <v>1</v>
      </c>
      <c r="D16">
        <v>5</v>
      </c>
      <c r="E16">
        <v>1</v>
      </c>
      <c r="F16">
        <v>2</v>
      </c>
      <c r="G16">
        <v>3</v>
      </c>
      <c r="H16">
        <v>5</v>
      </c>
      <c r="I16">
        <v>4</v>
      </c>
      <c r="J16">
        <v>3</v>
      </c>
      <c r="K16">
        <v>4</v>
      </c>
      <c r="L16">
        <v>2</v>
      </c>
      <c r="O16" s="11" t="s">
        <v>5</v>
      </c>
      <c r="P16" s="10">
        <v>1</v>
      </c>
      <c r="Q16" s="10">
        <v>2</v>
      </c>
      <c r="R16" s="10">
        <v>3</v>
      </c>
      <c r="S16" s="10">
        <v>4</v>
      </c>
      <c r="T16" s="10">
        <v>5</v>
      </c>
      <c r="U16" s="10"/>
      <c r="V16" s="44"/>
      <c r="X16" s="11" t="s">
        <v>5</v>
      </c>
      <c r="Y16" s="10">
        <v>1</v>
      </c>
      <c r="Z16" s="10">
        <v>2</v>
      </c>
      <c r="AA16" s="10">
        <v>3</v>
      </c>
      <c r="AB16" s="10">
        <v>4</v>
      </c>
      <c r="AC16" s="10">
        <v>5</v>
      </c>
      <c r="AD16" s="10"/>
      <c r="AE16" s="52"/>
      <c r="AG16" s="11" t="s">
        <v>5</v>
      </c>
      <c r="AH16" s="10">
        <v>1</v>
      </c>
      <c r="AI16" s="10">
        <v>2</v>
      </c>
      <c r="AJ16" s="10">
        <v>3</v>
      </c>
      <c r="AK16" s="10">
        <v>4</v>
      </c>
      <c r="AL16" s="10">
        <v>5</v>
      </c>
      <c r="AM16" s="10"/>
      <c r="AP16" s="2" t="s">
        <v>205</v>
      </c>
      <c r="AQ16">
        <f>4*2</f>
        <v>8</v>
      </c>
    </row>
    <row r="17" spans="1:44" ht="15.6" x14ac:dyDescent="0.3">
      <c r="A17">
        <v>3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  <c r="I17">
        <v>4</v>
      </c>
      <c r="J17">
        <v>2</v>
      </c>
      <c r="K17">
        <v>2</v>
      </c>
      <c r="L17">
        <v>2</v>
      </c>
      <c r="O17" s="42">
        <v>1</v>
      </c>
      <c r="P17">
        <f>COUNTIFS($C$2:$C$137,"1",$H$2:$H$137,"1")</f>
        <v>1</v>
      </c>
      <c r="Q17">
        <f>COUNTIFS($C$2:$C$137,"1",$H$2:$H$137,"2")</f>
        <v>3</v>
      </c>
      <c r="R17">
        <f>COUNTIFS($C$2:$C$137,"1",$H$2:$H$137,"3")</f>
        <v>2</v>
      </c>
      <c r="S17">
        <f>COUNTIFS($C$2:$C$137,"1",$H$2:$H$137,"4")</f>
        <v>12</v>
      </c>
      <c r="T17">
        <f>COUNTIFS($C$2:$C$137,"1",$H$2:$H$137,"5")</f>
        <v>18</v>
      </c>
      <c r="U17" s="56">
        <f>SUM(P17:T17)</f>
        <v>36</v>
      </c>
      <c r="V17" s="43"/>
      <c r="X17" s="42">
        <v>1</v>
      </c>
      <c r="Y17">
        <f>$U17*P$20/$U$20</f>
        <v>0.26470588235294118</v>
      </c>
      <c r="Z17">
        <f t="shared" ref="Z17:AC19" si="5">$U17*Q$20/$U$20</f>
        <v>2.1176470588235294</v>
      </c>
      <c r="AA17">
        <f t="shared" si="5"/>
        <v>3.4411764705882355</v>
      </c>
      <c r="AB17">
        <f t="shared" si="5"/>
        <v>15.352941176470589</v>
      </c>
      <c r="AC17">
        <f t="shared" si="5"/>
        <v>14.823529411764707</v>
      </c>
      <c r="AD17" s="58">
        <f>SUM(Y17:AC17)</f>
        <v>36</v>
      </c>
      <c r="AE17" s="43"/>
      <c r="AG17" s="42">
        <v>1</v>
      </c>
      <c r="AH17" s="3">
        <f t="shared" ref="AH17:AL19" si="6">(P17-Y17)^2/Y17</f>
        <v>2.0424836601307192</v>
      </c>
      <c r="AI17" s="3">
        <f t="shared" si="6"/>
        <v>0.36764705882352938</v>
      </c>
      <c r="AJ17" s="3">
        <f t="shared" si="6"/>
        <v>0.60356963298139776</v>
      </c>
      <c r="AK17" s="3">
        <f t="shared" si="6"/>
        <v>0.73225152129817472</v>
      </c>
      <c r="AL17" s="3">
        <f t="shared" si="6"/>
        <v>0.68067226890756272</v>
      </c>
      <c r="AM17" s="54">
        <f>SUM(AH17:AL17)</f>
        <v>4.4266241421413834</v>
      </c>
      <c r="AN17" s="44"/>
      <c r="AP17" s="2" t="s">
        <v>202</v>
      </c>
      <c r="AQ17" s="57">
        <f>SUM(AH17:AL19)</f>
        <v>9.3611843544343394</v>
      </c>
    </row>
    <row r="18" spans="1:44" ht="15.6" x14ac:dyDescent="0.3">
      <c r="A18">
        <v>5</v>
      </c>
      <c r="B18">
        <v>2</v>
      </c>
      <c r="C18">
        <v>2</v>
      </c>
      <c r="D18">
        <v>4</v>
      </c>
      <c r="E18">
        <v>2</v>
      </c>
      <c r="F18">
        <v>1</v>
      </c>
      <c r="G18">
        <v>5</v>
      </c>
      <c r="H18">
        <v>3</v>
      </c>
      <c r="I18">
        <v>4</v>
      </c>
      <c r="J18">
        <v>3</v>
      </c>
      <c r="K18">
        <v>2</v>
      </c>
      <c r="L18">
        <v>1</v>
      </c>
      <c r="O18" s="42">
        <v>2</v>
      </c>
      <c r="P18">
        <f>COUNTIFS($C$2:$C$137,"2",$H$2:$H$137,"1")</f>
        <v>0</v>
      </c>
      <c r="Q18">
        <f>COUNTIFS($C$2:$C$137,"2",$H$2:$H$137,"2")</f>
        <v>5</v>
      </c>
      <c r="R18">
        <f>COUNTIFS($C$2:$C$137,"2",$H$2:$H$137,"3")</f>
        <v>9</v>
      </c>
      <c r="S18">
        <f>COUNTIFS($C$2:$C$137,"2",$H$2:$H$137,"4")</f>
        <v>33</v>
      </c>
      <c r="T18">
        <f>COUNTIFS($C$2:$C$137,"2",$H$2:$H$137,"5")</f>
        <v>32</v>
      </c>
      <c r="U18" s="56">
        <f>SUM(P18:T18)</f>
        <v>79</v>
      </c>
      <c r="V18" s="43"/>
      <c r="X18" s="42">
        <v>2</v>
      </c>
      <c r="Y18">
        <f>$U18*P$20/$U$20</f>
        <v>0.58088235294117652</v>
      </c>
      <c r="Z18">
        <f t="shared" si="5"/>
        <v>4.6470588235294121</v>
      </c>
      <c r="AA18">
        <f t="shared" si="5"/>
        <v>7.5514705882352944</v>
      </c>
      <c r="AB18">
        <f t="shared" si="5"/>
        <v>33.691176470588232</v>
      </c>
      <c r="AC18">
        <f t="shared" si="5"/>
        <v>32.529411764705884</v>
      </c>
      <c r="AD18" s="58">
        <f>SUM(Y18:AC18)</f>
        <v>79</v>
      </c>
      <c r="AE18" s="43"/>
      <c r="AG18" s="42">
        <v>2</v>
      </c>
      <c r="AH18" s="3">
        <f t="shared" si="6"/>
        <v>0.58088235294117652</v>
      </c>
      <c r="AI18" s="3">
        <f t="shared" si="6"/>
        <v>2.6805658972449683E-2</v>
      </c>
      <c r="AJ18" s="3">
        <f t="shared" si="6"/>
        <v>0.27785812474941279</v>
      </c>
      <c r="AK18" s="3">
        <f t="shared" si="6"/>
        <v>1.4179526022543321E-2</v>
      </c>
      <c r="AL18" s="3">
        <f t="shared" si="6"/>
        <v>8.6161046697160425E-3</v>
      </c>
      <c r="AM18" s="56">
        <f>SUM(AH18:AL18)</f>
        <v>0.90834176735529848</v>
      </c>
      <c r="AN18" s="43"/>
      <c r="AP18" s="2" t="s">
        <v>203</v>
      </c>
      <c r="AQ18" s="50">
        <v>15.51</v>
      </c>
    </row>
    <row r="19" spans="1:44" ht="15.6" x14ac:dyDescent="0.3">
      <c r="A19">
        <v>4</v>
      </c>
      <c r="B19">
        <v>2</v>
      </c>
      <c r="C19">
        <v>3</v>
      </c>
      <c r="D19">
        <v>3</v>
      </c>
      <c r="E19">
        <v>4</v>
      </c>
      <c r="F19">
        <v>2</v>
      </c>
      <c r="G19">
        <v>3</v>
      </c>
      <c r="H19">
        <v>4</v>
      </c>
      <c r="I19">
        <v>5</v>
      </c>
      <c r="J19">
        <v>4</v>
      </c>
      <c r="K19">
        <v>5</v>
      </c>
      <c r="L19">
        <v>4</v>
      </c>
      <c r="O19" s="42">
        <v>3</v>
      </c>
      <c r="P19">
        <f>COUNTIFS($C$2:$C$137,"3",$H$2:$H$137,"1")</f>
        <v>0</v>
      </c>
      <c r="Q19">
        <f>COUNTIFS($C$2:$C$137,"3",$H$2:$H$137,"2")</f>
        <v>0</v>
      </c>
      <c r="R19">
        <f>COUNTIFS($C$2:$C$137,"3",$H$2:$H$137,"3")</f>
        <v>2</v>
      </c>
      <c r="S19">
        <f>COUNTIFS($C$2:$C$137,"3",$H$2:$H$137,"4")</f>
        <v>13</v>
      </c>
      <c r="T19">
        <f>COUNTIFS($C$2:$C$137,"3",$H$2:$H$137,"5")</f>
        <v>6</v>
      </c>
      <c r="U19" s="56">
        <f>SUM(P19:T19)</f>
        <v>21</v>
      </c>
      <c r="V19" s="43"/>
      <c r="X19" s="42">
        <v>3</v>
      </c>
      <c r="Y19">
        <f>$U19*P$20/$U$20</f>
        <v>0.15441176470588236</v>
      </c>
      <c r="Z19">
        <f t="shared" si="5"/>
        <v>1.2352941176470589</v>
      </c>
      <c r="AA19">
        <f t="shared" si="5"/>
        <v>2.0073529411764706</v>
      </c>
      <c r="AB19">
        <f t="shared" si="5"/>
        <v>8.9558823529411757</v>
      </c>
      <c r="AC19">
        <f t="shared" si="5"/>
        <v>8.6470588235294112</v>
      </c>
      <c r="AD19" s="58">
        <f>SUM(Y19:AC19)</f>
        <v>21</v>
      </c>
      <c r="AE19" s="43"/>
      <c r="AG19" s="42">
        <v>3</v>
      </c>
      <c r="AH19" s="3">
        <f t="shared" si="6"/>
        <v>0.15441176470588236</v>
      </c>
      <c r="AI19" s="3">
        <f t="shared" si="6"/>
        <v>1.2352941176470589</v>
      </c>
      <c r="AJ19" s="3">
        <f t="shared" si="6"/>
        <v>2.6933850463262037E-5</v>
      </c>
      <c r="AK19" s="3">
        <f t="shared" si="6"/>
        <v>1.8261614990823924</v>
      </c>
      <c r="AL19" s="3">
        <f t="shared" si="6"/>
        <v>0.8103241296518604</v>
      </c>
      <c r="AM19" s="56">
        <f>SUM(AH19:AL19)</f>
        <v>4.0262184449376575</v>
      </c>
      <c r="AN19" s="43"/>
      <c r="AP19" s="2" t="s">
        <v>206</v>
      </c>
      <c r="AQ19">
        <f>_xlfn.CHISQ.DIST.RT(AQ17,AQ16)</f>
        <v>0.31274875845684147</v>
      </c>
      <c r="AR19" t="s">
        <v>220</v>
      </c>
    </row>
    <row r="20" spans="1:44" ht="18" x14ac:dyDescent="0.35">
      <c r="A20">
        <v>5</v>
      </c>
      <c r="B20">
        <v>2</v>
      </c>
      <c r="C20">
        <v>3</v>
      </c>
      <c r="D20">
        <v>5</v>
      </c>
      <c r="E20">
        <v>4</v>
      </c>
      <c r="F20">
        <v>2</v>
      </c>
      <c r="G20">
        <v>4</v>
      </c>
      <c r="H20">
        <v>5</v>
      </c>
      <c r="I20">
        <v>4</v>
      </c>
      <c r="J20">
        <v>2</v>
      </c>
      <c r="K20">
        <v>4</v>
      </c>
      <c r="L20">
        <v>2</v>
      </c>
      <c r="O20" s="42"/>
      <c r="P20" s="54">
        <f t="shared" ref="P20:U20" si="7">SUM(P17:P19)</f>
        <v>1</v>
      </c>
      <c r="Q20" s="54">
        <f t="shared" si="7"/>
        <v>8</v>
      </c>
      <c r="R20" s="54">
        <f t="shared" si="7"/>
        <v>13</v>
      </c>
      <c r="S20" s="54">
        <f t="shared" si="7"/>
        <v>58</v>
      </c>
      <c r="T20" s="54">
        <f t="shared" si="7"/>
        <v>56</v>
      </c>
      <c r="U20" s="59">
        <f t="shared" si="7"/>
        <v>136</v>
      </c>
      <c r="V20" s="43"/>
      <c r="X20" s="61"/>
      <c r="Y20" s="54">
        <f t="shared" ref="Y20:AD20" si="8">SUM(Y17:Y19)</f>
        <v>1</v>
      </c>
      <c r="Z20" s="54">
        <f t="shared" si="8"/>
        <v>8</v>
      </c>
      <c r="AA20" s="54">
        <f t="shared" si="8"/>
        <v>13</v>
      </c>
      <c r="AB20" s="54">
        <f t="shared" si="8"/>
        <v>57.999999999999993</v>
      </c>
      <c r="AC20" s="54">
        <f t="shared" si="8"/>
        <v>56.000000000000007</v>
      </c>
      <c r="AD20" s="45">
        <f t="shared" si="8"/>
        <v>136</v>
      </c>
      <c r="AE20" s="43"/>
      <c r="AG20" s="61"/>
      <c r="AH20" s="54">
        <f t="shared" ref="AH20:AM20" si="9">SUM(AH17:AH19)</f>
        <v>2.7777777777777781</v>
      </c>
      <c r="AI20" s="54">
        <f t="shared" si="9"/>
        <v>1.629746835443038</v>
      </c>
      <c r="AJ20" s="54">
        <f t="shared" si="9"/>
        <v>0.88145469158127376</v>
      </c>
      <c r="AK20" s="54">
        <f t="shared" si="9"/>
        <v>2.5725925464031105</v>
      </c>
      <c r="AL20" s="54">
        <f t="shared" si="9"/>
        <v>1.4996125032291392</v>
      </c>
      <c r="AM20" s="48">
        <f t="shared" si="9"/>
        <v>9.3611843544343394</v>
      </c>
      <c r="AN20" s="43"/>
      <c r="AP20" t="s">
        <v>210</v>
      </c>
    </row>
    <row r="21" spans="1:44" ht="15.6" x14ac:dyDescent="0.3">
      <c r="A21">
        <v>5</v>
      </c>
      <c r="B21">
        <v>2</v>
      </c>
      <c r="C21">
        <v>1</v>
      </c>
      <c r="D21">
        <v>5</v>
      </c>
      <c r="E21">
        <v>1</v>
      </c>
      <c r="F21">
        <v>2</v>
      </c>
      <c r="G21">
        <v>4</v>
      </c>
      <c r="H21">
        <v>4</v>
      </c>
      <c r="I21">
        <v>5</v>
      </c>
      <c r="J21">
        <v>4</v>
      </c>
      <c r="K21">
        <v>5</v>
      </c>
      <c r="L21">
        <v>3</v>
      </c>
      <c r="O21" s="42"/>
      <c r="U21" s="43"/>
      <c r="V21" s="43"/>
      <c r="X21" s="61"/>
      <c r="AD21" s="43"/>
      <c r="AE21" s="43"/>
      <c r="AG21" s="61"/>
      <c r="AM21" s="45"/>
      <c r="AN21" s="43"/>
      <c r="AP21" s="2" t="s">
        <v>299</v>
      </c>
      <c r="AQ21" s="50">
        <f>SQRT(AQ17/($AQ$9*$AQ$10))</f>
        <v>0.18551581859810837</v>
      </c>
      <c r="AR21" t="s">
        <v>337</v>
      </c>
    </row>
    <row r="22" spans="1:44" ht="15.6" x14ac:dyDescent="0.3">
      <c r="A22">
        <v>3</v>
      </c>
      <c r="B22">
        <v>2</v>
      </c>
      <c r="C22">
        <v>2</v>
      </c>
      <c r="D22">
        <v>3</v>
      </c>
      <c r="E22">
        <v>3</v>
      </c>
      <c r="F22">
        <v>2</v>
      </c>
      <c r="G22">
        <v>1</v>
      </c>
      <c r="H22">
        <v>4</v>
      </c>
      <c r="I22">
        <v>4</v>
      </c>
      <c r="J22">
        <v>2</v>
      </c>
      <c r="K22">
        <v>4</v>
      </c>
      <c r="L22">
        <v>2</v>
      </c>
      <c r="O22" s="42"/>
      <c r="U22" s="43"/>
      <c r="V22" s="43"/>
      <c r="X22" s="61"/>
      <c r="AD22" s="43"/>
      <c r="AE22" s="43"/>
      <c r="AG22" s="61"/>
      <c r="AM22" s="45"/>
      <c r="AN22" s="43"/>
    </row>
    <row r="23" spans="1:44" ht="18" x14ac:dyDescent="0.35">
      <c r="A23">
        <v>4</v>
      </c>
      <c r="B23">
        <v>2</v>
      </c>
      <c r="C23">
        <v>2</v>
      </c>
      <c r="D23">
        <v>4</v>
      </c>
      <c r="E23">
        <v>2</v>
      </c>
      <c r="F23">
        <v>2</v>
      </c>
      <c r="G23">
        <v>4</v>
      </c>
      <c r="H23">
        <v>5</v>
      </c>
      <c r="I23">
        <v>5</v>
      </c>
      <c r="J23">
        <v>4</v>
      </c>
      <c r="K23">
        <v>4</v>
      </c>
      <c r="L23">
        <v>4</v>
      </c>
      <c r="P23" s="43"/>
      <c r="Q23" s="43"/>
      <c r="R23" s="43"/>
      <c r="S23" s="43"/>
      <c r="T23" s="43"/>
      <c r="U23" s="48"/>
      <c r="V23" s="46"/>
      <c r="Y23" s="43"/>
      <c r="Z23" s="43"/>
      <c r="AA23" s="43"/>
      <c r="AB23" s="43"/>
      <c r="AC23" s="43"/>
      <c r="AD23" s="48"/>
      <c r="AE23" s="43"/>
      <c r="AH23" s="48"/>
      <c r="AI23" s="48"/>
      <c r="AJ23" s="48"/>
      <c r="AK23" s="48"/>
      <c r="AL23" s="48"/>
      <c r="AM23" s="46"/>
      <c r="AN23" s="43"/>
    </row>
    <row r="24" spans="1:44" ht="18" x14ac:dyDescent="0.35">
      <c r="A24">
        <v>4</v>
      </c>
      <c r="B24">
        <v>2</v>
      </c>
      <c r="C24">
        <v>2</v>
      </c>
      <c r="D24">
        <v>4</v>
      </c>
      <c r="E24">
        <v>2</v>
      </c>
      <c r="F24">
        <v>3</v>
      </c>
      <c r="G24">
        <v>2</v>
      </c>
      <c r="H24">
        <v>4</v>
      </c>
      <c r="I24">
        <v>5</v>
      </c>
      <c r="J24">
        <v>5</v>
      </c>
      <c r="K24">
        <v>4</v>
      </c>
      <c r="L24">
        <v>5</v>
      </c>
      <c r="AN24" s="46"/>
    </row>
    <row r="25" spans="1:44" x14ac:dyDescent="0.3">
      <c r="A25">
        <v>2</v>
      </c>
      <c r="B25">
        <v>2</v>
      </c>
      <c r="C25">
        <v>2</v>
      </c>
      <c r="D25">
        <v>1</v>
      </c>
      <c r="E25">
        <v>2</v>
      </c>
      <c r="F25">
        <v>3</v>
      </c>
      <c r="G25">
        <v>4</v>
      </c>
      <c r="H25">
        <v>5</v>
      </c>
      <c r="I25">
        <v>5</v>
      </c>
      <c r="J25">
        <v>3</v>
      </c>
      <c r="K25">
        <v>4</v>
      </c>
      <c r="L25">
        <v>3</v>
      </c>
    </row>
    <row r="26" spans="1:44" x14ac:dyDescent="0.3">
      <c r="A26">
        <v>3</v>
      </c>
      <c r="B26">
        <v>2</v>
      </c>
      <c r="C26">
        <v>2</v>
      </c>
      <c r="D26">
        <v>2</v>
      </c>
      <c r="E26">
        <v>2</v>
      </c>
      <c r="F26">
        <v>3</v>
      </c>
      <c r="G26">
        <v>3</v>
      </c>
      <c r="H26">
        <v>4</v>
      </c>
      <c r="I26">
        <v>4</v>
      </c>
      <c r="J26">
        <v>3</v>
      </c>
      <c r="K26">
        <v>3</v>
      </c>
      <c r="L26">
        <v>4</v>
      </c>
    </row>
    <row r="27" spans="1:44" x14ac:dyDescent="0.3">
      <c r="A27">
        <v>3</v>
      </c>
      <c r="B27">
        <v>2</v>
      </c>
      <c r="C27">
        <v>2</v>
      </c>
      <c r="D27">
        <v>2</v>
      </c>
      <c r="E27">
        <v>2</v>
      </c>
      <c r="F27">
        <v>2</v>
      </c>
      <c r="G27">
        <v>3</v>
      </c>
      <c r="H27">
        <v>4</v>
      </c>
      <c r="I27">
        <v>4</v>
      </c>
      <c r="J27">
        <v>2</v>
      </c>
      <c r="K27">
        <v>4</v>
      </c>
      <c r="L27">
        <v>4</v>
      </c>
    </row>
    <row r="28" spans="1:44" x14ac:dyDescent="0.3">
      <c r="A28">
        <v>3</v>
      </c>
      <c r="B28">
        <v>2</v>
      </c>
      <c r="C28">
        <v>2</v>
      </c>
      <c r="D28">
        <v>2</v>
      </c>
      <c r="E28">
        <v>4</v>
      </c>
      <c r="F28">
        <v>3</v>
      </c>
      <c r="G28">
        <v>5</v>
      </c>
      <c r="H28">
        <v>5</v>
      </c>
      <c r="I28">
        <v>5</v>
      </c>
      <c r="J28">
        <v>3</v>
      </c>
      <c r="K28">
        <v>5</v>
      </c>
      <c r="L28">
        <v>5</v>
      </c>
    </row>
    <row r="29" spans="1:44" x14ac:dyDescent="0.3">
      <c r="A29">
        <v>3</v>
      </c>
      <c r="B29">
        <v>2</v>
      </c>
      <c r="C29">
        <v>1</v>
      </c>
      <c r="D29">
        <v>2</v>
      </c>
      <c r="E29">
        <v>1</v>
      </c>
      <c r="F29">
        <v>2</v>
      </c>
      <c r="G29">
        <v>1</v>
      </c>
      <c r="H29">
        <v>5</v>
      </c>
      <c r="I29">
        <v>4</v>
      </c>
      <c r="J29">
        <v>3</v>
      </c>
      <c r="K29">
        <v>5</v>
      </c>
      <c r="L29">
        <v>3</v>
      </c>
      <c r="P29" s="106" t="s">
        <v>344</v>
      </c>
      <c r="Q29" s="106"/>
      <c r="R29" s="106"/>
      <c r="S29" s="106"/>
      <c r="T29" s="106"/>
      <c r="U29" s="106"/>
      <c r="Y29" s="106" t="s">
        <v>362</v>
      </c>
      <c r="Z29" s="106"/>
      <c r="AA29" s="106"/>
      <c r="AB29" s="106"/>
      <c r="AC29" s="106"/>
      <c r="AD29" s="106"/>
      <c r="AG29" s="106" t="s">
        <v>354</v>
      </c>
      <c r="AH29" s="106"/>
      <c r="AI29" s="106"/>
      <c r="AJ29" s="106"/>
      <c r="AK29" s="106"/>
      <c r="AL29" s="106"/>
      <c r="AM29" s="106"/>
      <c r="AP29" s="2" t="s">
        <v>204</v>
      </c>
      <c r="AQ29">
        <v>0.05</v>
      </c>
    </row>
    <row r="30" spans="1:44" ht="15.6" x14ac:dyDescent="0.3">
      <c r="A30">
        <v>3</v>
      </c>
      <c r="B30">
        <v>2</v>
      </c>
      <c r="C30">
        <v>2</v>
      </c>
      <c r="D30">
        <v>2</v>
      </c>
      <c r="E30">
        <v>2</v>
      </c>
      <c r="F30">
        <v>2</v>
      </c>
      <c r="G30">
        <v>5</v>
      </c>
      <c r="H30">
        <v>2</v>
      </c>
      <c r="I30">
        <v>5</v>
      </c>
      <c r="J30">
        <v>5</v>
      </c>
      <c r="K30">
        <v>5</v>
      </c>
      <c r="L30">
        <v>5</v>
      </c>
      <c r="O30" s="11" t="s">
        <v>5</v>
      </c>
      <c r="P30" s="10">
        <v>1</v>
      </c>
      <c r="Q30" s="10">
        <v>2</v>
      </c>
      <c r="R30" s="10">
        <v>3</v>
      </c>
      <c r="S30" s="10">
        <v>4</v>
      </c>
      <c r="T30" s="10">
        <v>5</v>
      </c>
      <c r="U30" s="10"/>
      <c r="V30" s="44"/>
      <c r="X30" s="11" t="s">
        <v>5</v>
      </c>
      <c r="Y30" s="10">
        <v>1</v>
      </c>
      <c r="Z30" s="10">
        <v>2</v>
      </c>
      <c r="AA30" s="10">
        <v>3</v>
      </c>
      <c r="AB30" s="10">
        <v>4</v>
      </c>
      <c r="AC30" s="10">
        <v>5</v>
      </c>
      <c r="AD30" s="10"/>
      <c r="AE30" s="52"/>
      <c r="AG30" s="11" t="s">
        <v>5</v>
      </c>
      <c r="AH30" s="10">
        <v>1</v>
      </c>
      <c r="AI30" s="10">
        <v>2</v>
      </c>
      <c r="AJ30" s="10">
        <v>3</v>
      </c>
      <c r="AK30" s="10">
        <v>4</v>
      </c>
      <c r="AL30" s="10">
        <v>5</v>
      </c>
      <c r="AM30" s="10"/>
      <c r="AP30" s="2" t="s">
        <v>205</v>
      </c>
      <c r="AQ30">
        <f>4*2</f>
        <v>8</v>
      </c>
    </row>
    <row r="31" spans="1:44" ht="15.6" x14ac:dyDescent="0.3">
      <c r="A31">
        <v>5</v>
      </c>
      <c r="B31">
        <v>2</v>
      </c>
      <c r="C31">
        <v>2</v>
      </c>
      <c r="D31">
        <v>5</v>
      </c>
      <c r="E31">
        <v>2</v>
      </c>
      <c r="F31">
        <v>2</v>
      </c>
      <c r="G31">
        <v>2</v>
      </c>
      <c r="H31">
        <v>2</v>
      </c>
      <c r="I31">
        <v>4</v>
      </c>
      <c r="J31">
        <v>1</v>
      </c>
      <c r="K31">
        <v>2</v>
      </c>
      <c r="L31">
        <v>2</v>
      </c>
      <c r="O31" s="42">
        <v>1</v>
      </c>
      <c r="P31">
        <f>COUNTIFS($C$2:$C$137,"1",$I$2:$I$137,"1")</f>
        <v>1</v>
      </c>
      <c r="Q31">
        <f>COUNTIFS($C$2:$C$137,"1",$I$2:$I$137,"2")</f>
        <v>0</v>
      </c>
      <c r="R31">
        <f>COUNTIFS($C$2:$C$137,"1",$I$2:$I$137,"3")</f>
        <v>2</v>
      </c>
      <c r="S31">
        <f>COUNTIFS($C$2:$C$137,"1",$I$2:$I$137,"4")</f>
        <v>21</v>
      </c>
      <c r="T31">
        <f>COUNTIFS($C$2:$C$137,"1",$I$2:$I$137,"5")</f>
        <v>12</v>
      </c>
      <c r="U31" s="56">
        <f>SUM(P31:T31)</f>
        <v>36</v>
      </c>
      <c r="V31" s="43"/>
      <c r="X31" s="42">
        <v>1</v>
      </c>
      <c r="Y31">
        <f>$U31*P$34/$U$34</f>
        <v>0.26470588235294118</v>
      </c>
      <c r="Z31">
        <f t="shared" ref="Z31:AC33" si="10">$U31*Q$34/$U$34</f>
        <v>0.26470588235294118</v>
      </c>
      <c r="AA31">
        <f t="shared" si="10"/>
        <v>2.9117647058823528</v>
      </c>
      <c r="AB31">
        <f t="shared" si="10"/>
        <v>18.794117647058822</v>
      </c>
      <c r="AC31">
        <f t="shared" si="10"/>
        <v>13.764705882352942</v>
      </c>
      <c r="AD31" s="58">
        <f>SUM(Y31:AC31)</f>
        <v>36</v>
      </c>
      <c r="AE31" s="43"/>
      <c r="AG31" s="42">
        <v>1</v>
      </c>
      <c r="AH31">
        <f t="shared" ref="AH31:AL33" si="11">(P31-Y31)^2/Y31</f>
        <v>2.0424836601307192</v>
      </c>
      <c r="AI31">
        <f t="shared" si="11"/>
        <v>0.26470588235294118</v>
      </c>
      <c r="AJ31">
        <f t="shared" si="11"/>
        <v>0.28550207961972662</v>
      </c>
      <c r="AK31">
        <f t="shared" si="11"/>
        <v>0.25890637945319001</v>
      </c>
      <c r="AL31">
        <f t="shared" si="11"/>
        <v>0.22624434389140291</v>
      </c>
      <c r="AM31" s="54">
        <f>SUM(AH31:AL31)</f>
        <v>3.0778423454479795</v>
      </c>
      <c r="AN31" s="44"/>
      <c r="AP31" s="2" t="s">
        <v>202</v>
      </c>
      <c r="AQ31" s="10">
        <f>SUM(AH31:AL33)</f>
        <v>5.2197681678872625</v>
      </c>
    </row>
    <row r="32" spans="1:44" ht="15.6" x14ac:dyDescent="0.3">
      <c r="A32">
        <v>6</v>
      </c>
      <c r="B32">
        <v>2</v>
      </c>
      <c r="C32">
        <v>1</v>
      </c>
      <c r="D32">
        <v>5</v>
      </c>
      <c r="E32">
        <v>1</v>
      </c>
      <c r="F32">
        <v>1</v>
      </c>
      <c r="G32">
        <v>5</v>
      </c>
      <c r="H32">
        <v>4</v>
      </c>
      <c r="I32">
        <v>5</v>
      </c>
      <c r="J32">
        <v>5</v>
      </c>
      <c r="K32">
        <v>5</v>
      </c>
      <c r="L32">
        <v>4</v>
      </c>
      <c r="O32" s="42">
        <v>2</v>
      </c>
      <c r="P32">
        <f>COUNTIFS($C$2:$C$137,"2",$I$2:$I$137,"1")</f>
        <v>0</v>
      </c>
      <c r="Q32">
        <f>COUNTIFS($C$2:$C$137,"2",$I$2:$I$137,"2")</f>
        <v>1</v>
      </c>
      <c r="R32">
        <f>COUNTIFS($C$2:$C$137,"2",$I$2:$I$137,"3")</f>
        <v>7</v>
      </c>
      <c r="S32">
        <f>COUNTIFS($C$2:$C$137,"2",$I$2:$I$137,"4")</f>
        <v>41</v>
      </c>
      <c r="T32">
        <f>COUNTIFS($C$2:$C$137,"2",$I$2:$I$137,"5")</f>
        <v>30</v>
      </c>
      <c r="U32" s="56">
        <f>SUM(P32:T32)</f>
        <v>79</v>
      </c>
      <c r="V32" s="43"/>
      <c r="X32" s="42">
        <v>2</v>
      </c>
      <c r="Y32">
        <f>$U32*P$34/$U$34</f>
        <v>0.58088235294117652</v>
      </c>
      <c r="Z32">
        <f t="shared" si="10"/>
        <v>0.58088235294117652</v>
      </c>
      <c r="AA32">
        <f t="shared" si="10"/>
        <v>6.3897058823529411</v>
      </c>
      <c r="AB32">
        <f t="shared" si="10"/>
        <v>41.242647058823529</v>
      </c>
      <c r="AC32">
        <f t="shared" si="10"/>
        <v>30.205882352941178</v>
      </c>
      <c r="AD32" s="58">
        <f>SUM(Y32:AC32)</f>
        <v>79</v>
      </c>
      <c r="AE32" s="43"/>
      <c r="AG32" s="42">
        <v>2</v>
      </c>
      <c r="AH32">
        <f t="shared" si="11"/>
        <v>0.58088235294117652</v>
      </c>
      <c r="AI32">
        <f t="shared" si="11"/>
        <v>0.30240134028294852</v>
      </c>
      <c r="AJ32">
        <f t="shared" si="11"/>
        <v>5.8290462329926226E-2</v>
      </c>
      <c r="AK32">
        <f t="shared" si="11"/>
        <v>1.4275901125292286E-3</v>
      </c>
      <c r="AL32">
        <f t="shared" si="11"/>
        <v>1.4032877026175753E-3</v>
      </c>
      <c r="AM32" s="54">
        <f>SUM(AH32:AL32)</f>
        <v>0.94440503336919801</v>
      </c>
      <c r="AN32" s="43"/>
      <c r="AP32" s="2" t="s">
        <v>203</v>
      </c>
      <c r="AQ32" s="50">
        <v>15.51</v>
      </c>
    </row>
    <row r="33" spans="1:44" ht="15.6" x14ac:dyDescent="0.3">
      <c r="A33">
        <v>3</v>
      </c>
      <c r="B33">
        <v>2</v>
      </c>
      <c r="C33">
        <v>2</v>
      </c>
      <c r="D33">
        <v>2</v>
      </c>
      <c r="E33">
        <v>2</v>
      </c>
      <c r="F33">
        <v>2</v>
      </c>
      <c r="G33">
        <v>3</v>
      </c>
      <c r="H33">
        <v>5</v>
      </c>
      <c r="I33">
        <v>4</v>
      </c>
      <c r="J33">
        <v>3</v>
      </c>
      <c r="K33">
        <v>4</v>
      </c>
      <c r="L33">
        <v>3</v>
      </c>
      <c r="O33" s="42">
        <v>3</v>
      </c>
      <c r="P33">
        <f>COUNTIFS($C$2:$C$137,"3",$I$2:$I$137,"1")</f>
        <v>0</v>
      </c>
      <c r="Q33">
        <f>COUNTIFS($C$2:$C$137,"3",$I$2:$I$137,"2")</f>
        <v>0</v>
      </c>
      <c r="R33">
        <f>COUNTIFS($C$2:$C$137,"3",$I$2:$I$137,"3")</f>
        <v>2</v>
      </c>
      <c r="S33">
        <f>COUNTIFS($C$2:$C$137,"3",$I$2:$I$137,"4")</f>
        <v>9</v>
      </c>
      <c r="T33">
        <f>COUNTIFS($C$2:$C$137,"3",$I$2:$I$137,"5")</f>
        <v>10</v>
      </c>
      <c r="U33" s="56">
        <f>SUM(P33:T33)</f>
        <v>21</v>
      </c>
      <c r="V33" s="43"/>
      <c r="X33" s="42">
        <v>3</v>
      </c>
      <c r="Y33">
        <f>$U33*P$34/$U$34</f>
        <v>0.15441176470588236</v>
      </c>
      <c r="Z33">
        <f t="shared" si="10"/>
        <v>0.15441176470588236</v>
      </c>
      <c r="AA33">
        <f t="shared" si="10"/>
        <v>1.6985294117647058</v>
      </c>
      <c r="AB33">
        <f t="shared" si="10"/>
        <v>10.963235294117647</v>
      </c>
      <c r="AC33">
        <f t="shared" si="10"/>
        <v>8.0294117647058822</v>
      </c>
      <c r="AD33" s="58">
        <f>SUM(Y33:AC33)</f>
        <v>21</v>
      </c>
      <c r="AE33" s="43"/>
      <c r="AG33" s="42">
        <v>3</v>
      </c>
      <c r="AH33">
        <f t="shared" si="11"/>
        <v>0.15441176470588236</v>
      </c>
      <c r="AI33">
        <f>(Q33-Z33)^2/Z33</f>
        <v>0.15441176470588236</v>
      </c>
      <c r="AJ33">
        <f>(R33-AA33)^2/AA33</f>
        <v>5.3507766743060882E-2</v>
      </c>
      <c r="AK33">
        <f>(S33-AB33)^2/AB33</f>
        <v>0.35156527399692261</v>
      </c>
      <c r="AL33">
        <f>(T33-AC33)^2/AC33</f>
        <v>0.48362421891833662</v>
      </c>
      <c r="AM33" s="54">
        <f>SUM(AH33:AL33)</f>
        <v>1.1975207890700847</v>
      </c>
      <c r="AN33" s="43"/>
      <c r="AP33" s="2" t="s">
        <v>206</v>
      </c>
      <c r="AQ33">
        <f>_xlfn.CHISQ.DIST.RT(AQ31,AQ30)</f>
        <v>0.73384952343936549</v>
      </c>
      <c r="AR33" t="s">
        <v>220</v>
      </c>
    </row>
    <row r="34" spans="1:44" ht="18" x14ac:dyDescent="0.35">
      <c r="A34">
        <v>3</v>
      </c>
      <c r="B34">
        <v>2</v>
      </c>
      <c r="C34">
        <v>2</v>
      </c>
      <c r="D34">
        <v>1</v>
      </c>
      <c r="E34">
        <v>2</v>
      </c>
      <c r="F34">
        <v>2</v>
      </c>
      <c r="G34">
        <v>5</v>
      </c>
      <c r="H34">
        <v>4</v>
      </c>
      <c r="I34">
        <v>4</v>
      </c>
      <c r="J34">
        <v>3</v>
      </c>
      <c r="K34">
        <v>5</v>
      </c>
      <c r="L34">
        <v>4</v>
      </c>
      <c r="O34" s="42"/>
      <c r="P34" s="54">
        <f t="shared" ref="P34:U34" si="12">SUM(P31:P33)</f>
        <v>1</v>
      </c>
      <c r="Q34" s="54">
        <f t="shared" si="12"/>
        <v>1</v>
      </c>
      <c r="R34" s="54">
        <f t="shared" si="12"/>
        <v>11</v>
      </c>
      <c r="S34" s="54">
        <f t="shared" si="12"/>
        <v>71</v>
      </c>
      <c r="T34" s="54">
        <f t="shared" si="12"/>
        <v>52</v>
      </c>
      <c r="U34" s="59">
        <f t="shared" si="12"/>
        <v>136</v>
      </c>
      <c r="V34" s="43"/>
      <c r="X34" s="61"/>
      <c r="Y34" s="54">
        <f t="shared" ref="Y34:AD34" si="13">SUM(Y31:Y33)</f>
        <v>1</v>
      </c>
      <c r="Z34" s="54">
        <f t="shared" si="13"/>
        <v>1</v>
      </c>
      <c r="AA34" s="54">
        <f t="shared" si="13"/>
        <v>11</v>
      </c>
      <c r="AB34" s="54">
        <f t="shared" si="13"/>
        <v>71</v>
      </c>
      <c r="AC34" s="54">
        <f t="shared" si="13"/>
        <v>52</v>
      </c>
      <c r="AD34" s="45">
        <f t="shared" si="13"/>
        <v>136</v>
      </c>
      <c r="AE34" s="43"/>
      <c r="AG34" s="61"/>
      <c r="AH34" s="54">
        <f t="shared" ref="AH34:AM34" si="14">SUM(AH31:AH33)</f>
        <v>2.7777777777777781</v>
      </c>
      <c r="AI34" s="54">
        <f t="shared" si="14"/>
        <v>0.72151898734177211</v>
      </c>
      <c r="AJ34" s="54">
        <f t="shared" si="14"/>
        <v>0.39730030869271377</v>
      </c>
      <c r="AK34" s="54">
        <f t="shared" si="14"/>
        <v>0.6118992435626418</v>
      </c>
      <c r="AL34" s="54">
        <f t="shared" si="14"/>
        <v>0.71127185051235708</v>
      </c>
      <c r="AM34" s="45">
        <f t="shared" si="14"/>
        <v>5.2197681678872625</v>
      </c>
      <c r="AN34" s="43"/>
      <c r="AP34" t="s">
        <v>210</v>
      </c>
    </row>
    <row r="35" spans="1:44" ht="15.6" x14ac:dyDescent="0.3">
      <c r="A35">
        <v>5</v>
      </c>
      <c r="B35">
        <v>2</v>
      </c>
      <c r="C35">
        <v>3</v>
      </c>
      <c r="D35">
        <v>5</v>
      </c>
      <c r="E35">
        <v>4</v>
      </c>
      <c r="F35">
        <v>1</v>
      </c>
      <c r="G35">
        <v>4</v>
      </c>
      <c r="H35">
        <v>5</v>
      </c>
      <c r="I35">
        <v>5</v>
      </c>
      <c r="J35">
        <v>4</v>
      </c>
      <c r="K35">
        <v>3</v>
      </c>
      <c r="L35">
        <v>4</v>
      </c>
      <c r="O35" s="42"/>
      <c r="U35" s="43"/>
      <c r="V35" s="43"/>
      <c r="X35" s="61"/>
      <c r="AD35" s="43"/>
      <c r="AE35" s="43"/>
      <c r="AG35" s="61"/>
      <c r="AM35" s="45"/>
      <c r="AN35" s="43"/>
      <c r="AP35" s="2" t="s">
        <v>299</v>
      </c>
      <c r="AQ35" s="50">
        <f>SQRT(AQ31/($AQ$9*$AQ$10))</f>
        <v>0.13852914547720399</v>
      </c>
      <c r="AR35" t="s">
        <v>337</v>
      </c>
    </row>
    <row r="36" spans="1:44" ht="15.6" x14ac:dyDescent="0.3">
      <c r="A36">
        <v>5</v>
      </c>
      <c r="B36">
        <v>2</v>
      </c>
      <c r="C36">
        <v>2</v>
      </c>
      <c r="D36">
        <v>5</v>
      </c>
      <c r="E36">
        <v>2</v>
      </c>
      <c r="F36">
        <v>2</v>
      </c>
      <c r="G36">
        <v>4</v>
      </c>
      <c r="H36">
        <v>5</v>
      </c>
      <c r="I36">
        <v>4</v>
      </c>
      <c r="J36">
        <v>3</v>
      </c>
      <c r="K36">
        <v>5</v>
      </c>
      <c r="L36">
        <v>4</v>
      </c>
      <c r="O36" s="42"/>
      <c r="U36" s="43"/>
      <c r="V36" s="43"/>
      <c r="X36" s="61"/>
      <c r="AD36" s="43"/>
      <c r="AE36" s="43"/>
      <c r="AG36" s="61"/>
      <c r="AM36" s="45"/>
      <c r="AN36" s="43"/>
    </row>
    <row r="37" spans="1:44" ht="18" x14ac:dyDescent="0.35">
      <c r="A37">
        <v>5</v>
      </c>
      <c r="B37">
        <v>2</v>
      </c>
      <c r="C37">
        <v>2</v>
      </c>
      <c r="D37">
        <v>4</v>
      </c>
      <c r="E37">
        <v>4</v>
      </c>
      <c r="F37">
        <v>1</v>
      </c>
      <c r="G37">
        <v>5</v>
      </c>
      <c r="H37">
        <v>4</v>
      </c>
      <c r="I37">
        <v>4</v>
      </c>
      <c r="J37">
        <v>5</v>
      </c>
      <c r="K37">
        <v>4</v>
      </c>
      <c r="L37">
        <v>2</v>
      </c>
      <c r="P37" s="43"/>
      <c r="Q37" s="43"/>
      <c r="R37" s="43"/>
      <c r="S37" s="43"/>
      <c r="T37" s="43"/>
      <c r="U37" s="43"/>
      <c r="V37" s="43"/>
      <c r="Y37" s="43"/>
      <c r="Z37" s="43"/>
      <c r="AA37" s="43"/>
      <c r="AB37" s="43"/>
      <c r="AC37" s="43"/>
      <c r="AD37" s="48"/>
      <c r="AE37" s="43"/>
      <c r="AH37" s="48"/>
      <c r="AI37" s="48"/>
      <c r="AJ37" s="48"/>
      <c r="AK37" s="48"/>
      <c r="AL37" s="48"/>
      <c r="AM37" s="46"/>
      <c r="AN37" s="43"/>
    </row>
    <row r="38" spans="1:44" x14ac:dyDescent="0.3">
      <c r="A38">
        <v>3</v>
      </c>
      <c r="B38">
        <v>2</v>
      </c>
      <c r="C38">
        <v>1</v>
      </c>
      <c r="D38">
        <v>2</v>
      </c>
      <c r="E38">
        <v>1</v>
      </c>
      <c r="F38">
        <v>2</v>
      </c>
      <c r="G38">
        <v>5</v>
      </c>
      <c r="H38">
        <v>5</v>
      </c>
      <c r="I38">
        <v>5</v>
      </c>
      <c r="J38">
        <v>3</v>
      </c>
      <c r="K38">
        <v>4</v>
      </c>
      <c r="L38">
        <v>3</v>
      </c>
    </row>
    <row r="39" spans="1:44" x14ac:dyDescent="0.3">
      <c r="A39">
        <v>6</v>
      </c>
      <c r="B39">
        <v>2</v>
      </c>
      <c r="C39">
        <v>1</v>
      </c>
      <c r="D39">
        <v>5</v>
      </c>
      <c r="E39">
        <v>2</v>
      </c>
      <c r="F39">
        <v>2</v>
      </c>
      <c r="G39">
        <v>5</v>
      </c>
      <c r="H39">
        <v>4</v>
      </c>
      <c r="I39">
        <v>4</v>
      </c>
      <c r="J39">
        <v>5</v>
      </c>
      <c r="K39">
        <v>5</v>
      </c>
      <c r="L39">
        <v>5</v>
      </c>
    </row>
    <row r="40" spans="1:44" x14ac:dyDescent="0.3">
      <c r="A40">
        <v>5</v>
      </c>
      <c r="B40">
        <v>2</v>
      </c>
      <c r="C40">
        <v>3</v>
      </c>
      <c r="D40">
        <v>5</v>
      </c>
      <c r="E40">
        <v>4</v>
      </c>
      <c r="F40">
        <v>2</v>
      </c>
      <c r="G40">
        <v>5</v>
      </c>
      <c r="H40">
        <v>5</v>
      </c>
      <c r="I40">
        <v>5</v>
      </c>
      <c r="J40">
        <v>3</v>
      </c>
      <c r="K40">
        <v>4</v>
      </c>
      <c r="L40">
        <v>4</v>
      </c>
    </row>
    <row r="41" spans="1:44" x14ac:dyDescent="0.3">
      <c r="A41">
        <v>3</v>
      </c>
      <c r="B41">
        <v>2</v>
      </c>
      <c r="C41">
        <v>2</v>
      </c>
      <c r="D41">
        <v>2</v>
      </c>
      <c r="E41">
        <v>2</v>
      </c>
      <c r="F41">
        <v>3</v>
      </c>
      <c r="G41">
        <v>2</v>
      </c>
      <c r="H41">
        <v>2</v>
      </c>
      <c r="I41">
        <v>4</v>
      </c>
      <c r="J41">
        <v>2</v>
      </c>
      <c r="K41">
        <v>4</v>
      </c>
      <c r="L41">
        <v>5</v>
      </c>
    </row>
    <row r="42" spans="1:44" x14ac:dyDescent="0.3">
      <c r="A42">
        <v>6</v>
      </c>
      <c r="B42">
        <v>2</v>
      </c>
      <c r="C42">
        <v>1</v>
      </c>
      <c r="D42">
        <v>5</v>
      </c>
      <c r="E42">
        <v>1</v>
      </c>
      <c r="F42">
        <v>1</v>
      </c>
      <c r="G42">
        <v>2</v>
      </c>
      <c r="H42">
        <v>2</v>
      </c>
      <c r="I42">
        <v>4</v>
      </c>
      <c r="J42">
        <v>2</v>
      </c>
      <c r="K42">
        <v>2</v>
      </c>
      <c r="L42">
        <v>2</v>
      </c>
    </row>
    <row r="43" spans="1:44" x14ac:dyDescent="0.3">
      <c r="A43">
        <v>5</v>
      </c>
      <c r="B43">
        <v>2</v>
      </c>
      <c r="C43">
        <v>1</v>
      </c>
      <c r="D43">
        <v>5</v>
      </c>
      <c r="E43">
        <v>1</v>
      </c>
      <c r="F43">
        <v>2</v>
      </c>
      <c r="G43">
        <v>4</v>
      </c>
      <c r="H43">
        <v>4</v>
      </c>
      <c r="I43">
        <v>4</v>
      </c>
      <c r="J43">
        <v>3</v>
      </c>
      <c r="K43">
        <v>5</v>
      </c>
      <c r="L43">
        <v>2</v>
      </c>
      <c r="P43" s="106" t="s">
        <v>345</v>
      </c>
      <c r="Q43" s="106"/>
      <c r="R43" s="106"/>
      <c r="S43" s="106"/>
      <c r="T43" s="106"/>
      <c r="U43" s="106"/>
      <c r="Y43" s="106" t="s">
        <v>363</v>
      </c>
      <c r="Z43" s="106"/>
      <c r="AA43" s="106"/>
      <c r="AB43" s="106"/>
      <c r="AC43" s="106"/>
      <c r="AD43" s="106"/>
      <c r="AG43" s="106" t="s">
        <v>355</v>
      </c>
      <c r="AH43" s="106"/>
      <c r="AI43" s="106"/>
      <c r="AJ43" s="106"/>
      <c r="AK43" s="106"/>
      <c r="AL43" s="106"/>
      <c r="AM43" s="106"/>
      <c r="AP43" s="2" t="s">
        <v>204</v>
      </c>
      <c r="AQ43">
        <v>0.05</v>
      </c>
    </row>
    <row r="44" spans="1:44" ht="15.6" x14ac:dyDescent="0.3">
      <c r="A44">
        <v>5</v>
      </c>
      <c r="B44">
        <v>1</v>
      </c>
      <c r="C44">
        <v>1</v>
      </c>
      <c r="D44">
        <v>5</v>
      </c>
      <c r="E44">
        <v>1</v>
      </c>
      <c r="F44">
        <v>2</v>
      </c>
      <c r="G44">
        <v>4</v>
      </c>
      <c r="H44">
        <v>5</v>
      </c>
      <c r="I44">
        <v>5</v>
      </c>
      <c r="J44">
        <v>3</v>
      </c>
      <c r="K44">
        <v>3</v>
      </c>
      <c r="L44">
        <v>3</v>
      </c>
      <c r="O44" s="11" t="s">
        <v>5</v>
      </c>
      <c r="P44" s="10">
        <v>1</v>
      </c>
      <c r="Q44" s="10">
        <v>2</v>
      </c>
      <c r="R44" s="10">
        <v>3</v>
      </c>
      <c r="S44" s="10">
        <v>4</v>
      </c>
      <c r="T44" s="10">
        <v>5</v>
      </c>
      <c r="U44" s="10"/>
      <c r="V44" s="44"/>
      <c r="X44" s="11" t="s">
        <v>5</v>
      </c>
      <c r="Y44" s="10">
        <v>1</v>
      </c>
      <c r="Z44" s="10">
        <v>2</v>
      </c>
      <c r="AA44" s="10">
        <v>3</v>
      </c>
      <c r="AB44" s="10">
        <v>4</v>
      </c>
      <c r="AC44" s="10">
        <v>5</v>
      </c>
      <c r="AD44" s="10"/>
      <c r="AE44" s="52"/>
      <c r="AG44" s="11" t="s">
        <v>5</v>
      </c>
      <c r="AH44" s="10">
        <v>1</v>
      </c>
      <c r="AI44" s="10">
        <v>2</v>
      </c>
      <c r="AJ44" s="10">
        <v>3</v>
      </c>
      <c r="AK44" s="10">
        <v>4</v>
      </c>
      <c r="AL44" s="10">
        <v>5</v>
      </c>
      <c r="AM44" s="10"/>
      <c r="AP44" s="2" t="s">
        <v>205</v>
      </c>
      <c r="AQ44">
        <f>4*2</f>
        <v>8</v>
      </c>
    </row>
    <row r="45" spans="1:44" ht="15.6" x14ac:dyDescent="0.3">
      <c r="A45">
        <v>5</v>
      </c>
      <c r="B45">
        <v>2</v>
      </c>
      <c r="C45">
        <v>3</v>
      </c>
      <c r="D45">
        <v>5</v>
      </c>
      <c r="E45">
        <v>3</v>
      </c>
      <c r="F45">
        <v>2</v>
      </c>
      <c r="G45">
        <v>3</v>
      </c>
      <c r="H45">
        <v>4</v>
      </c>
      <c r="I45">
        <v>5</v>
      </c>
      <c r="J45">
        <v>2</v>
      </c>
      <c r="K45">
        <v>2</v>
      </c>
      <c r="L45">
        <v>4</v>
      </c>
      <c r="O45" s="42">
        <v>1</v>
      </c>
      <c r="P45">
        <f>COUNTIFS($C$2:$C$137,"1",$J$2:$J$137,"1")</f>
        <v>2</v>
      </c>
      <c r="Q45">
        <f>COUNTIFS($C$2:$C$137,"1",$J$2:$J$137,"2")</f>
        <v>8</v>
      </c>
      <c r="R45">
        <f>COUNTIFS($C$2:$C$137,"1",$J$2:$J$137,"3")</f>
        <v>12</v>
      </c>
      <c r="S45">
        <f>COUNTIFS($C$2:$C$137,"1",$J$2:$J$137,"4")</f>
        <v>9</v>
      </c>
      <c r="T45">
        <f>COUNTIFS($C$2:$C$137,"1",$J$2:$J$137,"5")</f>
        <v>5</v>
      </c>
      <c r="U45" s="51">
        <f>SUM(P45:T45)</f>
        <v>36</v>
      </c>
      <c r="V45" s="43"/>
      <c r="X45" s="42">
        <v>1</v>
      </c>
      <c r="Y45">
        <f>$U45*P$48/$U$48</f>
        <v>1.0588235294117647</v>
      </c>
      <c r="Z45">
        <f t="shared" ref="Z45:AC47" si="15">$U45*Q$48/$U$48</f>
        <v>7.4117647058823533</v>
      </c>
      <c r="AA45">
        <f t="shared" si="15"/>
        <v>14.558823529411764</v>
      </c>
      <c r="AB45">
        <f t="shared" si="15"/>
        <v>9.7941176470588243</v>
      </c>
      <c r="AC45">
        <f t="shared" si="15"/>
        <v>3.1764705882352939</v>
      </c>
      <c r="AD45" s="56">
        <f>SUM(Y45:AC45)</f>
        <v>36.000000000000007</v>
      </c>
      <c r="AE45" s="43"/>
      <c r="AG45" s="42">
        <v>1</v>
      </c>
      <c r="AH45">
        <f t="shared" ref="AH45:AL47" si="16">(P45-Y45)^2/Y45</f>
        <v>0.83660130718954251</v>
      </c>
      <c r="AI45">
        <f t="shared" si="16"/>
        <v>4.6685340802987814E-2</v>
      </c>
      <c r="AJ45">
        <f t="shared" si="16"/>
        <v>0.44973262032085554</v>
      </c>
      <c r="AK45">
        <f t="shared" si="16"/>
        <v>6.4387917329093908E-2</v>
      </c>
      <c r="AL45">
        <f t="shared" si="16"/>
        <v>1.0468409586056646</v>
      </c>
      <c r="AM45" s="54">
        <f>SUM(AH45:AL45)</f>
        <v>2.4442481442481445</v>
      </c>
      <c r="AN45" s="44"/>
      <c r="AP45" s="2" t="s">
        <v>202</v>
      </c>
      <c r="AQ45" s="10">
        <f>SUM(AH45:AL47)</f>
        <v>8.2724863869529344</v>
      </c>
    </row>
    <row r="46" spans="1:44" ht="15.6" x14ac:dyDescent="0.3">
      <c r="A46">
        <v>3</v>
      </c>
      <c r="B46">
        <v>2</v>
      </c>
      <c r="C46">
        <v>2</v>
      </c>
      <c r="D46">
        <v>3</v>
      </c>
      <c r="E46">
        <v>2</v>
      </c>
      <c r="F46">
        <v>2</v>
      </c>
      <c r="G46">
        <v>5</v>
      </c>
      <c r="H46">
        <v>5</v>
      </c>
      <c r="I46">
        <v>5</v>
      </c>
      <c r="J46">
        <v>5</v>
      </c>
      <c r="K46">
        <v>4</v>
      </c>
      <c r="L46">
        <v>5</v>
      </c>
      <c r="O46" s="42">
        <v>2</v>
      </c>
      <c r="P46">
        <f>COUNTIFS($C$2:$C$137,"2",$J$2:$J$137,"1")</f>
        <v>1</v>
      </c>
      <c r="Q46">
        <f>COUNTIFS($C$2:$C$137,"2",$J$2:$J$137,"2")</f>
        <v>16</v>
      </c>
      <c r="R46">
        <f>COUNTIFS($C$2:$C$137,"2",$J$2:$J$137,"3")</f>
        <v>36</v>
      </c>
      <c r="S46">
        <f>COUNTIFS($C$2:$C$137,"2",$J$2:$J$137,"4")</f>
        <v>19</v>
      </c>
      <c r="T46">
        <f>COUNTIFS($C$2:$C$137,"2",$J$2:$J$137,"5")</f>
        <v>7</v>
      </c>
      <c r="U46" s="51">
        <f>SUM(P46:T46)</f>
        <v>79</v>
      </c>
      <c r="V46" s="43"/>
      <c r="X46" s="42">
        <v>2</v>
      </c>
      <c r="Y46">
        <f>$U46*P$48/$U$48</f>
        <v>2.3235294117647061</v>
      </c>
      <c r="Z46">
        <f t="shared" si="15"/>
        <v>16.264705882352942</v>
      </c>
      <c r="AA46">
        <f t="shared" si="15"/>
        <v>31.948529411764707</v>
      </c>
      <c r="AB46">
        <f t="shared" si="15"/>
        <v>21.492647058823529</v>
      </c>
      <c r="AC46">
        <f t="shared" si="15"/>
        <v>6.9705882352941178</v>
      </c>
      <c r="AD46" s="56">
        <f>SUM(Y46:AC46)</f>
        <v>79</v>
      </c>
      <c r="AE46" s="43"/>
      <c r="AG46" s="42">
        <v>2</v>
      </c>
      <c r="AH46">
        <f t="shared" si="16"/>
        <v>0.75390915860014907</v>
      </c>
      <c r="AI46">
        <f t="shared" si="16"/>
        <v>4.3080523348580212E-3</v>
      </c>
      <c r="AJ46">
        <f t="shared" si="16"/>
        <v>0.51377682258173674</v>
      </c>
      <c r="AK46">
        <f t="shared" si="16"/>
        <v>0.28908907045541438</v>
      </c>
      <c r="AL46">
        <f t="shared" si="16"/>
        <v>1.2410027302059976E-4</v>
      </c>
      <c r="AM46" s="54">
        <f>SUM(AH46:AL46)</f>
        <v>1.5612072042451788</v>
      </c>
      <c r="AN46" s="43"/>
      <c r="AP46" s="2" t="s">
        <v>203</v>
      </c>
      <c r="AQ46" s="50">
        <v>15.51</v>
      </c>
    </row>
    <row r="47" spans="1:44" ht="15.6" x14ac:dyDescent="0.3">
      <c r="A47">
        <v>5</v>
      </c>
      <c r="B47">
        <v>2</v>
      </c>
      <c r="C47">
        <v>3</v>
      </c>
      <c r="D47">
        <v>5</v>
      </c>
      <c r="E47">
        <v>3</v>
      </c>
      <c r="F47">
        <v>2</v>
      </c>
      <c r="G47">
        <v>4</v>
      </c>
      <c r="H47">
        <v>5</v>
      </c>
      <c r="I47">
        <v>5</v>
      </c>
      <c r="J47">
        <v>4</v>
      </c>
      <c r="K47">
        <v>4</v>
      </c>
      <c r="L47">
        <v>3</v>
      </c>
      <c r="O47" s="42">
        <v>3</v>
      </c>
      <c r="P47">
        <f>COUNTIFS($C$2:$C$137,"3",$J$2:$J$137,"1")</f>
        <v>1</v>
      </c>
      <c r="Q47">
        <f>COUNTIFS($C$2:$C$137,"3",$J$2:$J$137,"2")</f>
        <v>4</v>
      </c>
      <c r="R47">
        <f>COUNTIFS($C$2:$C$137,"3",$J$2:$J$137,"3")</f>
        <v>7</v>
      </c>
      <c r="S47">
        <f>COUNTIFS($C$2:$C$137,"3",$J$2:$J$137,"4")</f>
        <v>9</v>
      </c>
      <c r="T47">
        <f>COUNTIFS($C$2:$C$137,"3",$J$2:$J$137,"5")</f>
        <v>0</v>
      </c>
      <c r="U47" s="51">
        <f>SUM(P47:T47)</f>
        <v>21</v>
      </c>
      <c r="V47" s="43"/>
      <c r="X47" s="42"/>
      <c r="Y47">
        <f>$U47*P$48/$U$48</f>
        <v>0.61764705882352944</v>
      </c>
      <c r="Z47">
        <f t="shared" si="15"/>
        <v>4.3235294117647056</v>
      </c>
      <c r="AA47">
        <f t="shared" si="15"/>
        <v>8.492647058823529</v>
      </c>
      <c r="AB47">
        <f t="shared" si="15"/>
        <v>5.7132352941176467</v>
      </c>
      <c r="AC47">
        <f t="shared" si="15"/>
        <v>1.8529411764705883</v>
      </c>
      <c r="AD47" s="56">
        <f>SUM(Y47:AC47)</f>
        <v>21</v>
      </c>
      <c r="AE47" s="43"/>
      <c r="AG47" s="42">
        <v>3</v>
      </c>
      <c r="AH47">
        <f t="shared" si="16"/>
        <v>0.23669467787114842</v>
      </c>
      <c r="AI47">
        <f>(Q47-Z47)^2/Z47</f>
        <v>2.4209683873549381E-2</v>
      </c>
      <c r="AJ47">
        <f>(R47-AA47)^2/AA47</f>
        <v>0.26234402852049898</v>
      </c>
      <c r="AK47">
        <f>(S47-AB47)^2/AB47</f>
        <v>1.8908414717238253</v>
      </c>
      <c r="AL47">
        <f>(T47-AC47)^2/AC47</f>
        <v>1.8529411764705883</v>
      </c>
      <c r="AM47" s="54">
        <f>SUM(AH47:AL47)</f>
        <v>4.26703103845961</v>
      </c>
      <c r="AN47" s="43"/>
      <c r="AP47" s="2" t="s">
        <v>206</v>
      </c>
      <c r="AQ47">
        <f>_xlfn.CHISQ.DIST.RT(AQ45,AQ44)</f>
        <v>0.40731571593619725</v>
      </c>
      <c r="AR47" t="s">
        <v>220</v>
      </c>
    </row>
    <row r="48" spans="1:44" ht="15.6" x14ac:dyDescent="0.3">
      <c r="A48">
        <v>3</v>
      </c>
      <c r="B48">
        <v>2</v>
      </c>
      <c r="C48">
        <v>2</v>
      </c>
      <c r="D48">
        <v>2</v>
      </c>
      <c r="E48">
        <v>2</v>
      </c>
      <c r="F48">
        <v>2</v>
      </c>
      <c r="G48">
        <v>3</v>
      </c>
      <c r="H48">
        <v>5</v>
      </c>
      <c r="I48">
        <v>5</v>
      </c>
      <c r="J48">
        <v>3</v>
      </c>
      <c r="K48">
        <v>2</v>
      </c>
      <c r="L48">
        <v>2</v>
      </c>
      <c r="O48" s="42"/>
      <c r="P48" s="54">
        <f t="shared" ref="P48:U48" si="17">SUM(P45:P47)</f>
        <v>4</v>
      </c>
      <c r="Q48" s="54">
        <f t="shared" si="17"/>
        <v>28</v>
      </c>
      <c r="R48" s="54">
        <f t="shared" si="17"/>
        <v>55</v>
      </c>
      <c r="S48" s="54">
        <f t="shared" si="17"/>
        <v>37</v>
      </c>
      <c r="T48" s="54">
        <f t="shared" si="17"/>
        <v>12</v>
      </c>
      <c r="U48" s="45">
        <f t="shared" si="17"/>
        <v>136</v>
      </c>
      <c r="V48" s="43"/>
      <c r="X48" s="61"/>
      <c r="Y48" s="54">
        <f t="shared" ref="Y48:AD48" si="18">SUM(Y45:Y47)</f>
        <v>4</v>
      </c>
      <c r="Z48" s="54">
        <f t="shared" si="18"/>
        <v>28.000000000000004</v>
      </c>
      <c r="AA48" s="54">
        <f t="shared" si="18"/>
        <v>55</v>
      </c>
      <c r="AB48" s="54">
        <f t="shared" si="18"/>
        <v>37</v>
      </c>
      <c r="AC48" s="54">
        <f t="shared" si="18"/>
        <v>12</v>
      </c>
      <c r="AD48" s="45">
        <f t="shared" si="18"/>
        <v>136</v>
      </c>
      <c r="AE48" s="43"/>
      <c r="AG48" s="61"/>
      <c r="AH48" s="54">
        <f t="shared" ref="AH48:AM48" si="19">SUM(AH45:AH47)</f>
        <v>1.8272051436608401</v>
      </c>
      <c r="AI48" s="54">
        <f t="shared" si="19"/>
        <v>7.5203077011395225E-2</v>
      </c>
      <c r="AJ48" s="54">
        <f t="shared" si="19"/>
        <v>1.2258534714230913</v>
      </c>
      <c r="AK48" s="54">
        <f t="shared" si="19"/>
        <v>2.2443184595083334</v>
      </c>
      <c r="AL48" s="54">
        <f t="shared" si="19"/>
        <v>2.8999062353492735</v>
      </c>
      <c r="AM48" s="45">
        <f t="shared" si="19"/>
        <v>8.2724863869529344</v>
      </c>
      <c r="AN48" s="43"/>
      <c r="AP48" t="s">
        <v>210</v>
      </c>
    </row>
    <row r="49" spans="1:44" ht="15.6" x14ac:dyDescent="0.3">
      <c r="A49">
        <v>2</v>
      </c>
      <c r="B49">
        <v>2</v>
      </c>
      <c r="C49">
        <v>1</v>
      </c>
      <c r="D49">
        <v>2</v>
      </c>
      <c r="E49">
        <v>1</v>
      </c>
      <c r="F49">
        <v>2</v>
      </c>
      <c r="G49">
        <v>3</v>
      </c>
      <c r="H49">
        <v>5</v>
      </c>
      <c r="I49">
        <v>4</v>
      </c>
      <c r="J49">
        <v>4</v>
      </c>
      <c r="K49">
        <v>3</v>
      </c>
      <c r="L49">
        <v>4</v>
      </c>
      <c r="O49" s="42"/>
      <c r="U49" s="51"/>
      <c r="V49" s="43"/>
      <c r="X49" s="61"/>
      <c r="AD49" s="43"/>
      <c r="AE49" s="43"/>
      <c r="AG49" s="61"/>
      <c r="AM49" s="45"/>
      <c r="AN49" s="43"/>
      <c r="AP49" s="2" t="s">
        <v>299</v>
      </c>
      <c r="AQ49" s="50">
        <f>SQRT(AQ45/($AQ$9*$AQ$10))</f>
        <v>0.17439481899761047</v>
      </c>
      <c r="AR49" t="s">
        <v>337</v>
      </c>
    </row>
    <row r="50" spans="1:44" ht="15.6" x14ac:dyDescent="0.3">
      <c r="A50">
        <v>5</v>
      </c>
      <c r="B50">
        <v>2</v>
      </c>
      <c r="C50">
        <v>2</v>
      </c>
      <c r="D50">
        <v>5</v>
      </c>
      <c r="E50">
        <v>2</v>
      </c>
      <c r="F50">
        <v>3</v>
      </c>
      <c r="G50">
        <v>3</v>
      </c>
      <c r="H50">
        <v>3</v>
      </c>
      <c r="I50">
        <v>3</v>
      </c>
      <c r="J50">
        <v>2</v>
      </c>
      <c r="K50">
        <v>3</v>
      </c>
      <c r="L50">
        <v>3</v>
      </c>
      <c r="O50" s="42"/>
      <c r="U50" s="51"/>
      <c r="V50" s="43"/>
      <c r="X50" s="61"/>
      <c r="AD50" s="43"/>
      <c r="AE50" s="43"/>
      <c r="AG50" s="61"/>
      <c r="AM50" s="45"/>
      <c r="AN50" s="43"/>
    </row>
    <row r="51" spans="1:44" ht="18" x14ac:dyDescent="0.35">
      <c r="A51">
        <v>5</v>
      </c>
      <c r="B51">
        <v>2</v>
      </c>
      <c r="C51">
        <v>1</v>
      </c>
      <c r="D51">
        <v>4</v>
      </c>
      <c r="E51">
        <v>1</v>
      </c>
      <c r="F51">
        <v>2</v>
      </c>
      <c r="G51">
        <v>4</v>
      </c>
      <c r="H51">
        <v>3</v>
      </c>
      <c r="I51">
        <v>3</v>
      </c>
      <c r="J51">
        <v>3</v>
      </c>
      <c r="K51">
        <v>3</v>
      </c>
      <c r="L51">
        <v>2</v>
      </c>
      <c r="P51" s="43"/>
      <c r="Q51" s="43"/>
      <c r="R51" s="43"/>
      <c r="S51" s="43"/>
      <c r="T51" s="43"/>
      <c r="U51" s="45"/>
      <c r="V51" s="46"/>
      <c r="Y51" s="43"/>
      <c r="Z51" s="43"/>
      <c r="AA51" s="43"/>
      <c r="AB51" s="43"/>
      <c r="AC51" s="43"/>
      <c r="AD51" s="48"/>
      <c r="AE51" s="43"/>
      <c r="AH51" s="48"/>
      <c r="AI51" s="48"/>
      <c r="AJ51" s="48"/>
      <c r="AK51" s="48"/>
      <c r="AL51" s="48"/>
      <c r="AM51" s="46"/>
      <c r="AN51" s="43"/>
    </row>
    <row r="52" spans="1:44" x14ac:dyDescent="0.3">
      <c r="A52">
        <v>3</v>
      </c>
      <c r="B52">
        <v>2</v>
      </c>
      <c r="C52">
        <v>1</v>
      </c>
      <c r="D52">
        <v>2</v>
      </c>
      <c r="E52">
        <v>2</v>
      </c>
      <c r="F52">
        <v>2</v>
      </c>
      <c r="G52">
        <v>3</v>
      </c>
      <c r="H52">
        <v>4</v>
      </c>
      <c r="I52">
        <v>5</v>
      </c>
      <c r="J52">
        <v>2</v>
      </c>
      <c r="K52">
        <v>5</v>
      </c>
      <c r="L52">
        <v>4</v>
      </c>
    </row>
    <row r="53" spans="1:44" x14ac:dyDescent="0.3">
      <c r="A53">
        <v>3</v>
      </c>
      <c r="B53">
        <v>2</v>
      </c>
      <c r="C53">
        <v>2</v>
      </c>
      <c r="D53">
        <v>2</v>
      </c>
      <c r="E53">
        <v>2</v>
      </c>
      <c r="F53">
        <v>2</v>
      </c>
      <c r="G53">
        <v>3</v>
      </c>
      <c r="H53">
        <v>3</v>
      </c>
      <c r="I53">
        <v>5</v>
      </c>
      <c r="J53">
        <v>3</v>
      </c>
      <c r="K53">
        <v>3</v>
      </c>
      <c r="L53">
        <v>3</v>
      </c>
    </row>
    <row r="54" spans="1:44" x14ac:dyDescent="0.3">
      <c r="A54">
        <v>5</v>
      </c>
      <c r="B54">
        <v>2</v>
      </c>
      <c r="C54">
        <v>1</v>
      </c>
      <c r="D54">
        <v>4</v>
      </c>
      <c r="E54">
        <v>1</v>
      </c>
      <c r="F54">
        <v>2</v>
      </c>
      <c r="G54">
        <v>4</v>
      </c>
      <c r="H54">
        <v>5</v>
      </c>
      <c r="I54">
        <v>4</v>
      </c>
      <c r="J54">
        <v>4</v>
      </c>
      <c r="K54">
        <v>4</v>
      </c>
      <c r="L54">
        <v>4</v>
      </c>
    </row>
    <row r="55" spans="1:44" x14ac:dyDescent="0.3">
      <c r="A55">
        <v>3</v>
      </c>
      <c r="B55">
        <v>2</v>
      </c>
      <c r="C55">
        <v>1</v>
      </c>
      <c r="D55">
        <v>2</v>
      </c>
      <c r="E55">
        <v>1</v>
      </c>
      <c r="F55">
        <v>2</v>
      </c>
      <c r="G55">
        <v>3</v>
      </c>
      <c r="H55">
        <v>5</v>
      </c>
      <c r="I55">
        <v>4</v>
      </c>
      <c r="J55">
        <v>3</v>
      </c>
      <c r="K55">
        <v>3</v>
      </c>
      <c r="L55">
        <v>4</v>
      </c>
    </row>
    <row r="56" spans="1:44" x14ac:dyDescent="0.3">
      <c r="A56">
        <v>5</v>
      </c>
      <c r="B56">
        <v>2</v>
      </c>
      <c r="C56">
        <v>2</v>
      </c>
      <c r="D56">
        <v>5</v>
      </c>
      <c r="E56">
        <v>4</v>
      </c>
      <c r="F56">
        <v>2</v>
      </c>
      <c r="G56">
        <v>3</v>
      </c>
      <c r="H56">
        <v>4</v>
      </c>
      <c r="I56">
        <v>4</v>
      </c>
      <c r="J56">
        <v>2</v>
      </c>
      <c r="K56">
        <v>3</v>
      </c>
      <c r="L56">
        <v>3</v>
      </c>
    </row>
    <row r="57" spans="1:44" x14ac:dyDescent="0.3">
      <c r="A57">
        <v>3</v>
      </c>
      <c r="B57">
        <v>2</v>
      </c>
      <c r="C57">
        <v>2</v>
      </c>
      <c r="D57">
        <v>1</v>
      </c>
      <c r="E57">
        <v>2</v>
      </c>
      <c r="F57">
        <v>3</v>
      </c>
      <c r="G57">
        <v>2</v>
      </c>
      <c r="H57">
        <v>3</v>
      </c>
      <c r="I57">
        <v>4</v>
      </c>
      <c r="J57">
        <v>2</v>
      </c>
      <c r="K57">
        <v>3</v>
      </c>
      <c r="L57">
        <v>3</v>
      </c>
      <c r="P57" s="106" t="s">
        <v>346</v>
      </c>
      <c r="Q57" s="106"/>
      <c r="R57" s="106"/>
      <c r="S57" s="106"/>
      <c r="T57" s="106"/>
      <c r="U57" s="106"/>
      <c r="Y57" s="106" t="s">
        <v>364</v>
      </c>
      <c r="Z57" s="106"/>
      <c r="AA57" s="106"/>
      <c r="AB57" s="106"/>
      <c r="AC57" s="106"/>
      <c r="AD57" s="55"/>
      <c r="AG57" s="55"/>
      <c r="AH57" s="106" t="s">
        <v>356</v>
      </c>
      <c r="AI57" s="106"/>
      <c r="AJ57" s="106"/>
      <c r="AK57" s="106"/>
      <c r="AL57" s="106"/>
      <c r="AM57" s="106"/>
      <c r="AP57" s="2" t="s">
        <v>204</v>
      </c>
      <c r="AQ57">
        <v>0.05</v>
      </c>
    </row>
    <row r="58" spans="1:44" ht="15.6" x14ac:dyDescent="0.3">
      <c r="A58">
        <v>2</v>
      </c>
      <c r="B58">
        <v>2</v>
      </c>
      <c r="C58">
        <v>2</v>
      </c>
      <c r="D58">
        <v>1</v>
      </c>
      <c r="E58">
        <v>2</v>
      </c>
      <c r="F58">
        <v>2</v>
      </c>
      <c r="G58">
        <v>4</v>
      </c>
      <c r="H58">
        <v>4</v>
      </c>
      <c r="I58">
        <v>5</v>
      </c>
      <c r="J58">
        <v>3</v>
      </c>
      <c r="K58">
        <v>5</v>
      </c>
      <c r="L58">
        <v>4</v>
      </c>
      <c r="O58" s="11" t="s">
        <v>142</v>
      </c>
      <c r="P58" s="10">
        <v>1</v>
      </c>
      <c r="Q58" s="10">
        <v>2</v>
      </c>
      <c r="R58" s="10">
        <v>3</v>
      </c>
      <c r="S58" s="10">
        <v>4</v>
      </c>
      <c r="T58" s="10">
        <v>5</v>
      </c>
      <c r="U58" s="10"/>
      <c r="V58" s="44"/>
      <c r="X58" s="11" t="s">
        <v>5</v>
      </c>
      <c r="Y58" s="10">
        <v>1</v>
      </c>
      <c r="Z58" s="10">
        <v>2</v>
      </c>
      <c r="AA58" s="10">
        <v>3</v>
      </c>
      <c r="AB58" s="10">
        <v>4</v>
      </c>
      <c r="AC58" s="10">
        <v>5</v>
      </c>
      <c r="AD58" s="10"/>
      <c r="AG58" s="11" t="s">
        <v>5</v>
      </c>
      <c r="AH58" s="10">
        <v>1</v>
      </c>
      <c r="AI58" s="10">
        <v>2</v>
      </c>
      <c r="AJ58" s="10">
        <v>3</v>
      </c>
      <c r="AK58" s="10">
        <v>4</v>
      </c>
      <c r="AL58" s="10">
        <v>5</v>
      </c>
      <c r="AM58" s="10"/>
      <c r="AP58" s="2" t="s">
        <v>205</v>
      </c>
      <c r="AQ58">
        <f>4*2</f>
        <v>8</v>
      </c>
    </row>
    <row r="59" spans="1:44" ht="15.6" x14ac:dyDescent="0.3">
      <c r="A59">
        <v>2</v>
      </c>
      <c r="B59">
        <v>2</v>
      </c>
      <c r="C59">
        <v>1</v>
      </c>
      <c r="D59">
        <v>2</v>
      </c>
      <c r="E59">
        <v>1</v>
      </c>
      <c r="F59">
        <v>2</v>
      </c>
      <c r="G59">
        <v>3</v>
      </c>
      <c r="H59">
        <v>4</v>
      </c>
      <c r="I59">
        <v>5</v>
      </c>
      <c r="J59">
        <v>3</v>
      </c>
      <c r="K59">
        <v>5</v>
      </c>
      <c r="L59">
        <v>2</v>
      </c>
      <c r="O59" s="42">
        <v>1</v>
      </c>
      <c r="P59">
        <f>COUNTIFS($C$2:$C$137,"1",$K$2:$K$137,"1")</f>
        <v>0</v>
      </c>
      <c r="Q59">
        <f>COUNTIFS($C$2:$C$137,"1",$K$2:$K$137,"2")</f>
        <v>4</v>
      </c>
      <c r="R59">
        <f>COUNTIFS($C$2:$C$137,"1",$K$2:$K$137,"3")</f>
        <v>8</v>
      </c>
      <c r="S59">
        <f>COUNTIFS($C$2:$C$137,"1",$K$2:$K$137,"4")</f>
        <v>12</v>
      </c>
      <c r="T59">
        <f>COUNTIFS($C$2:$C$137,"1",$K$2:$K$137,"5")</f>
        <v>12</v>
      </c>
      <c r="U59" s="51">
        <f>SUM(P59:T59)</f>
        <v>36</v>
      </c>
      <c r="V59" s="43"/>
      <c r="X59" s="42">
        <v>1</v>
      </c>
      <c r="Y59">
        <f>$U59*P$62/$U$62</f>
        <v>0</v>
      </c>
      <c r="Z59">
        <f t="shared" ref="Z59:AC61" si="20">$U59*Q$62/$U$62</f>
        <v>4.5</v>
      </c>
      <c r="AA59">
        <f t="shared" si="20"/>
        <v>7.4117647058823533</v>
      </c>
      <c r="AB59">
        <f t="shared" si="20"/>
        <v>16.676470588235293</v>
      </c>
      <c r="AC59">
        <f t="shared" si="20"/>
        <v>7.4117647058823533</v>
      </c>
      <c r="AD59" s="56">
        <f>SUM(Y59:AC59)</f>
        <v>36</v>
      </c>
      <c r="AE59" s="52"/>
      <c r="AG59" s="42">
        <v>1</v>
      </c>
      <c r="AH59" s="49">
        <v>0</v>
      </c>
      <c r="AI59">
        <f>((Q59-Z59)^2)/Z59</f>
        <v>5.5555555555555552E-2</v>
      </c>
      <c r="AJ59">
        <f t="shared" ref="AJ59:AL59" si="21">((R59-AA59)^2)/AA59</f>
        <v>4.6685340802987814E-2</v>
      </c>
      <c r="AK59">
        <f t="shared" si="21"/>
        <v>1.3113912231559288</v>
      </c>
      <c r="AL59">
        <f t="shared" si="21"/>
        <v>2.8403361344537812</v>
      </c>
      <c r="AM59" s="54">
        <f>SUM(AH59:AL59)</f>
        <v>4.2539682539682531</v>
      </c>
      <c r="AP59" s="2" t="s">
        <v>202</v>
      </c>
      <c r="AQ59" s="10">
        <f>SUM(AH59:AL61)</f>
        <v>6.5603873054144302</v>
      </c>
    </row>
    <row r="60" spans="1:44" ht="15.6" x14ac:dyDescent="0.3">
      <c r="A60">
        <v>3</v>
      </c>
      <c r="B60">
        <v>2</v>
      </c>
      <c r="C60">
        <v>2</v>
      </c>
      <c r="D60">
        <v>2</v>
      </c>
      <c r="E60">
        <v>2</v>
      </c>
      <c r="F60">
        <v>2</v>
      </c>
      <c r="G60">
        <v>3</v>
      </c>
      <c r="H60">
        <v>4</v>
      </c>
      <c r="I60">
        <v>4</v>
      </c>
      <c r="J60">
        <v>3</v>
      </c>
      <c r="K60">
        <v>3</v>
      </c>
      <c r="L60">
        <v>3</v>
      </c>
      <c r="O60" s="42">
        <v>2</v>
      </c>
      <c r="P60">
        <f>COUNTIFS($C$2:$C$137,"3",$K$2:$K$137,"1")</f>
        <v>0</v>
      </c>
      <c r="Q60">
        <f>COUNTIFS($C$2:$C$137,"2",$K$2:$K$137,"2")</f>
        <v>10</v>
      </c>
      <c r="R60">
        <f>COUNTIFS($C$2:$C$137,"2",$K$2:$K$137,"3")</f>
        <v>15</v>
      </c>
      <c r="S60">
        <f>COUNTIFS($C$2:$C$137,"2",$K$2:$K$137,"4")</f>
        <v>40</v>
      </c>
      <c r="T60">
        <f>COUNTIFS($C$2:$C$137,"2",$K$2:$K$137,"5")</f>
        <v>14</v>
      </c>
      <c r="U60" s="51">
        <f>SUM(P60:T60)</f>
        <v>79</v>
      </c>
      <c r="V60" s="43"/>
      <c r="X60" s="42">
        <v>2</v>
      </c>
      <c r="Y60">
        <f>$U60*P$62/$U$62</f>
        <v>0</v>
      </c>
      <c r="Z60">
        <f t="shared" si="20"/>
        <v>9.875</v>
      </c>
      <c r="AA60">
        <f t="shared" si="20"/>
        <v>16.264705882352942</v>
      </c>
      <c r="AB60">
        <f t="shared" si="20"/>
        <v>36.595588235294116</v>
      </c>
      <c r="AC60">
        <f t="shared" si="20"/>
        <v>16.264705882352942</v>
      </c>
      <c r="AD60" s="56">
        <f>SUM(Y60:AC60)</f>
        <v>79</v>
      </c>
      <c r="AE60" s="43"/>
      <c r="AG60" s="42">
        <v>2</v>
      </c>
      <c r="AH60" s="49">
        <v>0</v>
      </c>
      <c r="AI60">
        <f>(Q60-Z60)^2/Z60</f>
        <v>1.5822784810126582E-3</v>
      </c>
      <c r="AJ60">
        <f t="shared" ref="AJ60:AL61" si="22">(R60-AA60)^2/AA60</f>
        <v>9.834060206361038E-2</v>
      </c>
      <c r="AK60">
        <f t="shared" si="22"/>
        <v>0.31670537413277577</v>
      </c>
      <c r="AL60">
        <f t="shared" si="22"/>
        <v>0.31533879374534646</v>
      </c>
      <c r="AM60" s="54">
        <f>SUM(AH60:AL60)</f>
        <v>0.73196704842274529</v>
      </c>
      <c r="AN60" s="44"/>
      <c r="AP60" s="2" t="s">
        <v>203</v>
      </c>
      <c r="AQ60" s="50">
        <v>15.51</v>
      </c>
    </row>
    <row r="61" spans="1:44" ht="15.6" x14ac:dyDescent="0.3">
      <c r="A61">
        <v>4</v>
      </c>
      <c r="B61">
        <v>2</v>
      </c>
      <c r="C61">
        <v>1</v>
      </c>
      <c r="D61">
        <v>4</v>
      </c>
      <c r="E61">
        <v>1</v>
      </c>
      <c r="F61">
        <v>2</v>
      </c>
      <c r="G61">
        <v>4</v>
      </c>
      <c r="H61">
        <v>4</v>
      </c>
      <c r="I61">
        <v>5</v>
      </c>
      <c r="J61">
        <v>2</v>
      </c>
      <c r="K61">
        <v>4</v>
      </c>
      <c r="L61">
        <v>4</v>
      </c>
      <c r="O61" s="42">
        <v>3</v>
      </c>
      <c r="P61">
        <f>COUNTIFS($C$2:$C$137,"3",$K$2:$K$137,"1")</f>
        <v>0</v>
      </c>
      <c r="Q61">
        <f>COUNTIFS($C$2:$C$137,"3",$K$2:$K$137,"2")</f>
        <v>3</v>
      </c>
      <c r="R61">
        <f>COUNTIFS($C$2:$C$137,"3",$K$2:$K$137,"3")</f>
        <v>5</v>
      </c>
      <c r="S61">
        <f>COUNTIFS($C$2:$C$137,"3",$K$2:$K$137,"4")</f>
        <v>11</v>
      </c>
      <c r="T61">
        <f>COUNTIFS($C$2:$C$137,"3",$K$2:$K$137,"5")</f>
        <v>2</v>
      </c>
      <c r="U61" s="51">
        <f>SUM(P61:T61)</f>
        <v>21</v>
      </c>
      <c r="V61" s="43"/>
      <c r="X61">
        <v>3</v>
      </c>
      <c r="Y61">
        <f>$U61*P$62/$U$62</f>
        <v>0</v>
      </c>
      <c r="Z61">
        <f t="shared" si="20"/>
        <v>2.625</v>
      </c>
      <c r="AA61">
        <f t="shared" si="20"/>
        <v>4.3235294117647056</v>
      </c>
      <c r="AB61">
        <f t="shared" si="20"/>
        <v>9.7279411764705888</v>
      </c>
      <c r="AC61">
        <f t="shared" si="20"/>
        <v>4.3235294117647056</v>
      </c>
      <c r="AD61" s="56">
        <f>SUM(Y61:AC61)</f>
        <v>21</v>
      </c>
      <c r="AE61" s="43"/>
      <c r="AG61" s="42">
        <v>3</v>
      </c>
      <c r="AH61" s="60">
        <f>SUM(AH59:AH60)</f>
        <v>0</v>
      </c>
      <c r="AI61">
        <f>(Q61-Z61)^2/Z61</f>
        <v>5.3571428571428568E-2</v>
      </c>
      <c r="AJ61">
        <f t="shared" si="22"/>
        <v>0.105842336934774</v>
      </c>
      <c r="AK61">
        <f t="shared" si="22"/>
        <v>0.1663387577253122</v>
      </c>
      <c r="AL61">
        <f t="shared" si="22"/>
        <v>1.2486994797919166</v>
      </c>
      <c r="AM61" s="54">
        <f>SUM(AH61:AL61)</f>
        <v>1.5744520030234315</v>
      </c>
      <c r="AN61" s="43"/>
      <c r="AP61" s="2" t="s">
        <v>206</v>
      </c>
      <c r="AQ61">
        <f>_xlfn.CHISQ.DIST.RT(AQ59,AQ58)</f>
        <v>0.58471751432813868</v>
      </c>
      <c r="AR61" t="s">
        <v>224</v>
      </c>
    </row>
    <row r="62" spans="1:44" ht="15.6" x14ac:dyDescent="0.3">
      <c r="A62">
        <v>5</v>
      </c>
      <c r="B62">
        <v>2</v>
      </c>
      <c r="C62">
        <v>1</v>
      </c>
      <c r="D62">
        <v>5</v>
      </c>
      <c r="E62">
        <v>1</v>
      </c>
      <c r="F62">
        <v>2</v>
      </c>
      <c r="G62">
        <v>5</v>
      </c>
      <c r="H62">
        <v>5</v>
      </c>
      <c r="I62">
        <v>4</v>
      </c>
      <c r="J62">
        <v>3</v>
      </c>
      <c r="K62">
        <v>4</v>
      </c>
      <c r="L62">
        <v>1</v>
      </c>
      <c r="O62" s="42"/>
      <c r="P62" s="54">
        <f t="shared" ref="P62:U62" si="23">SUM(P59:P61)</f>
        <v>0</v>
      </c>
      <c r="Q62" s="54">
        <f t="shared" si="23"/>
        <v>17</v>
      </c>
      <c r="R62" s="54">
        <f t="shared" si="23"/>
        <v>28</v>
      </c>
      <c r="S62" s="54">
        <f t="shared" si="23"/>
        <v>63</v>
      </c>
      <c r="T62" s="54">
        <f t="shared" si="23"/>
        <v>28</v>
      </c>
      <c r="U62" s="45">
        <f t="shared" si="23"/>
        <v>136</v>
      </c>
      <c r="V62" s="43"/>
      <c r="X62" s="42"/>
      <c r="Y62" s="51">
        <f t="shared" ref="Y62:AD62" si="24">SUM(Y59:Y61)</f>
        <v>0</v>
      </c>
      <c r="Z62" s="51">
        <f t="shared" si="24"/>
        <v>17</v>
      </c>
      <c r="AA62" s="51">
        <f t="shared" si="24"/>
        <v>28.000000000000004</v>
      </c>
      <c r="AB62" s="51">
        <f t="shared" si="24"/>
        <v>62.999999999999993</v>
      </c>
      <c r="AC62" s="51">
        <f t="shared" si="24"/>
        <v>28.000000000000004</v>
      </c>
      <c r="AD62" s="45">
        <f t="shared" si="24"/>
        <v>136</v>
      </c>
      <c r="AE62" s="43"/>
      <c r="AG62" s="61"/>
      <c r="AH62" s="54">
        <f t="shared" ref="AH62:AM62" si="25">SUM(AH59:AH61)</f>
        <v>0</v>
      </c>
      <c r="AI62" s="54">
        <f t="shared" si="25"/>
        <v>0.11070926260799678</v>
      </c>
      <c r="AJ62" s="54">
        <f t="shared" si="25"/>
        <v>0.25086827980137222</v>
      </c>
      <c r="AK62" s="54">
        <f t="shared" si="25"/>
        <v>1.7944353550140166</v>
      </c>
      <c r="AL62" s="54">
        <f t="shared" si="25"/>
        <v>4.4043744079910443</v>
      </c>
      <c r="AM62" s="45">
        <f t="shared" si="25"/>
        <v>6.5603873054144293</v>
      </c>
      <c r="AN62" s="43"/>
      <c r="AP62" t="s">
        <v>223</v>
      </c>
    </row>
    <row r="63" spans="1:44" ht="15.6" x14ac:dyDescent="0.3">
      <c r="A63">
        <v>2</v>
      </c>
      <c r="B63">
        <v>2</v>
      </c>
      <c r="C63">
        <v>1</v>
      </c>
      <c r="D63">
        <v>2</v>
      </c>
      <c r="E63">
        <v>1</v>
      </c>
      <c r="F63">
        <v>3</v>
      </c>
      <c r="G63">
        <v>2</v>
      </c>
      <c r="H63">
        <v>5</v>
      </c>
      <c r="I63">
        <v>3</v>
      </c>
      <c r="J63">
        <v>3</v>
      </c>
      <c r="K63">
        <v>4</v>
      </c>
      <c r="L63">
        <v>2</v>
      </c>
      <c r="O63" s="42"/>
      <c r="U63" s="53"/>
      <c r="V63" s="43"/>
      <c r="X63" s="42"/>
      <c r="AD63" s="43"/>
      <c r="AE63" s="43"/>
      <c r="AG63" s="61"/>
      <c r="AH63" s="49"/>
      <c r="AM63" s="45"/>
      <c r="AN63" s="43"/>
      <c r="AP63" s="2" t="s">
        <v>299</v>
      </c>
      <c r="AQ63" s="50">
        <f>SQRT(AQ59/($AQ$9*$AQ$10))</f>
        <v>0.15530315829302488</v>
      </c>
      <c r="AR63" t="s">
        <v>337</v>
      </c>
    </row>
    <row r="64" spans="1:44" ht="15.6" x14ac:dyDescent="0.3">
      <c r="A64">
        <v>5</v>
      </c>
      <c r="B64">
        <v>2</v>
      </c>
      <c r="C64">
        <v>3</v>
      </c>
      <c r="D64">
        <v>4</v>
      </c>
      <c r="E64">
        <v>3</v>
      </c>
      <c r="F64">
        <v>2</v>
      </c>
      <c r="G64">
        <v>4</v>
      </c>
      <c r="H64">
        <v>4</v>
      </c>
      <c r="I64">
        <v>5</v>
      </c>
      <c r="J64">
        <v>4</v>
      </c>
      <c r="K64">
        <v>4</v>
      </c>
      <c r="L64">
        <v>5</v>
      </c>
      <c r="O64" s="42"/>
      <c r="U64" s="53"/>
      <c r="V64" s="43"/>
      <c r="X64" s="42"/>
      <c r="AD64" s="43"/>
      <c r="AE64" s="43"/>
      <c r="AG64" s="61"/>
      <c r="AH64" s="49"/>
      <c r="AM64" s="45"/>
      <c r="AN64" s="43"/>
    </row>
    <row r="65" spans="1:44" ht="18" x14ac:dyDescent="0.35">
      <c r="A65">
        <v>2</v>
      </c>
      <c r="B65">
        <v>2</v>
      </c>
      <c r="C65">
        <v>2</v>
      </c>
      <c r="D65">
        <v>1</v>
      </c>
      <c r="E65">
        <v>2</v>
      </c>
      <c r="F65">
        <v>2</v>
      </c>
      <c r="G65">
        <v>4</v>
      </c>
      <c r="H65">
        <v>5</v>
      </c>
      <c r="I65">
        <v>5</v>
      </c>
      <c r="J65">
        <v>3</v>
      </c>
      <c r="K65">
        <v>5</v>
      </c>
      <c r="L65">
        <v>4</v>
      </c>
      <c r="P65" s="43"/>
      <c r="Q65" s="43"/>
      <c r="R65" s="43"/>
      <c r="S65" s="43"/>
      <c r="T65" s="43"/>
      <c r="U65" s="48"/>
      <c r="V65" s="46"/>
      <c r="X65" s="42"/>
      <c r="AD65" s="43"/>
      <c r="AE65" s="43"/>
      <c r="AG65" s="61"/>
      <c r="AH65" s="49"/>
      <c r="AM65" s="45"/>
      <c r="AN65" s="43"/>
      <c r="AP65" s="2"/>
      <c r="AQ65" s="50"/>
    </row>
    <row r="66" spans="1:44" ht="18" x14ac:dyDescent="0.35">
      <c r="A66">
        <v>2</v>
      </c>
      <c r="B66">
        <v>2</v>
      </c>
      <c r="C66">
        <v>2</v>
      </c>
      <c r="D66">
        <v>1</v>
      </c>
      <c r="E66">
        <v>2</v>
      </c>
      <c r="F66">
        <v>2</v>
      </c>
      <c r="G66">
        <v>4</v>
      </c>
      <c r="H66">
        <v>5</v>
      </c>
      <c r="I66">
        <v>5</v>
      </c>
      <c r="J66">
        <v>3</v>
      </c>
      <c r="K66">
        <v>5</v>
      </c>
      <c r="L66">
        <v>3</v>
      </c>
      <c r="Y66" s="43"/>
      <c r="Z66" s="43"/>
      <c r="AA66" s="43"/>
      <c r="AB66" s="43"/>
      <c r="AC66" s="43"/>
      <c r="AD66" s="48"/>
      <c r="AE66" s="43"/>
      <c r="AH66" s="48"/>
      <c r="AI66" s="48"/>
      <c r="AJ66" s="48"/>
      <c r="AK66" s="48"/>
      <c r="AL66" s="48"/>
      <c r="AM66" s="46"/>
      <c r="AN66" s="43"/>
    </row>
    <row r="67" spans="1:44" x14ac:dyDescent="0.3">
      <c r="A67">
        <v>3</v>
      </c>
      <c r="B67">
        <v>2</v>
      </c>
      <c r="C67">
        <v>2</v>
      </c>
      <c r="D67">
        <v>2</v>
      </c>
      <c r="E67">
        <v>2</v>
      </c>
      <c r="F67">
        <v>2</v>
      </c>
      <c r="G67">
        <v>4</v>
      </c>
      <c r="H67">
        <v>5</v>
      </c>
      <c r="I67">
        <v>3</v>
      </c>
      <c r="J67">
        <v>2</v>
      </c>
      <c r="K67">
        <v>4</v>
      </c>
      <c r="L67">
        <v>3</v>
      </c>
    </row>
    <row r="68" spans="1:44" x14ac:dyDescent="0.3">
      <c r="A68">
        <v>4</v>
      </c>
      <c r="B68">
        <v>2</v>
      </c>
      <c r="C68">
        <v>2</v>
      </c>
      <c r="D68">
        <v>4</v>
      </c>
      <c r="E68">
        <v>2</v>
      </c>
      <c r="F68">
        <v>2</v>
      </c>
      <c r="G68">
        <v>4</v>
      </c>
      <c r="H68">
        <v>5</v>
      </c>
      <c r="I68">
        <v>4</v>
      </c>
      <c r="J68">
        <v>3</v>
      </c>
      <c r="K68">
        <v>4</v>
      </c>
      <c r="L68">
        <v>5</v>
      </c>
    </row>
    <row r="69" spans="1:44" x14ac:dyDescent="0.3">
      <c r="A69">
        <v>4</v>
      </c>
      <c r="B69">
        <v>2</v>
      </c>
      <c r="C69">
        <v>2</v>
      </c>
      <c r="D69">
        <v>1</v>
      </c>
      <c r="E69">
        <v>3</v>
      </c>
      <c r="F69">
        <v>2</v>
      </c>
      <c r="G69">
        <v>4</v>
      </c>
      <c r="H69">
        <v>4</v>
      </c>
      <c r="I69">
        <v>3</v>
      </c>
      <c r="J69">
        <v>4</v>
      </c>
      <c r="K69">
        <v>3</v>
      </c>
      <c r="L69">
        <v>2</v>
      </c>
    </row>
    <row r="70" spans="1:44" x14ac:dyDescent="0.3">
      <c r="A70">
        <v>2</v>
      </c>
      <c r="B70">
        <v>2</v>
      </c>
      <c r="C70">
        <v>2</v>
      </c>
      <c r="D70">
        <v>1</v>
      </c>
      <c r="E70">
        <v>2</v>
      </c>
      <c r="F70">
        <v>3</v>
      </c>
      <c r="G70">
        <v>5</v>
      </c>
      <c r="H70">
        <v>5</v>
      </c>
      <c r="I70">
        <v>4</v>
      </c>
      <c r="J70">
        <v>3</v>
      </c>
      <c r="K70">
        <v>5</v>
      </c>
      <c r="L70">
        <v>4</v>
      </c>
    </row>
    <row r="71" spans="1:44" x14ac:dyDescent="0.3">
      <c r="A71">
        <v>5</v>
      </c>
      <c r="B71">
        <v>2</v>
      </c>
      <c r="C71">
        <v>1</v>
      </c>
      <c r="D71">
        <v>5</v>
      </c>
      <c r="E71">
        <v>1</v>
      </c>
      <c r="F71">
        <v>2</v>
      </c>
      <c r="G71">
        <v>4</v>
      </c>
      <c r="H71">
        <v>5</v>
      </c>
      <c r="I71">
        <v>5</v>
      </c>
      <c r="J71">
        <v>4</v>
      </c>
      <c r="K71">
        <v>4</v>
      </c>
      <c r="L71">
        <v>4</v>
      </c>
      <c r="P71" s="106" t="s">
        <v>347</v>
      </c>
      <c r="Q71" s="106"/>
      <c r="R71" s="106"/>
      <c r="S71" s="106"/>
      <c r="T71" s="106"/>
      <c r="U71" s="106"/>
      <c r="Y71" s="106" t="s">
        <v>365</v>
      </c>
      <c r="Z71" s="106"/>
      <c r="AA71" s="106"/>
      <c r="AB71" s="106"/>
      <c r="AC71" s="106"/>
      <c r="AD71" s="55"/>
      <c r="AG71" s="55"/>
      <c r="AH71" s="106" t="s">
        <v>357</v>
      </c>
      <c r="AI71" s="106"/>
      <c r="AJ71" s="106"/>
      <c r="AK71" s="106"/>
      <c r="AL71" s="106"/>
      <c r="AM71" s="106"/>
      <c r="AP71" s="2" t="s">
        <v>204</v>
      </c>
      <c r="AQ71">
        <v>0.05</v>
      </c>
    </row>
    <row r="72" spans="1:44" ht="15.6" x14ac:dyDescent="0.3">
      <c r="A72">
        <v>3</v>
      </c>
      <c r="B72">
        <v>2</v>
      </c>
      <c r="C72">
        <v>2</v>
      </c>
      <c r="D72">
        <v>2</v>
      </c>
      <c r="E72">
        <v>2</v>
      </c>
      <c r="F72">
        <v>2</v>
      </c>
      <c r="G72">
        <v>4</v>
      </c>
      <c r="H72">
        <v>4</v>
      </c>
      <c r="I72">
        <v>4</v>
      </c>
      <c r="J72">
        <v>3</v>
      </c>
      <c r="K72">
        <v>4</v>
      </c>
      <c r="L72">
        <v>3</v>
      </c>
      <c r="O72" s="11" t="s">
        <v>149</v>
      </c>
      <c r="P72" s="10">
        <v>1</v>
      </c>
      <c r="Q72" s="10">
        <v>2</v>
      </c>
      <c r="R72" s="10">
        <v>3</v>
      </c>
      <c r="S72" s="10">
        <v>4</v>
      </c>
      <c r="T72" s="10">
        <v>5</v>
      </c>
      <c r="U72" s="10"/>
      <c r="V72" s="44"/>
      <c r="X72" s="11" t="s">
        <v>5</v>
      </c>
      <c r="Y72" s="10">
        <v>1</v>
      </c>
      <c r="Z72" s="10">
        <v>2</v>
      </c>
      <c r="AA72" s="10">
        <v>3</v>
      </c>
      <c r="AB72" s="10">
        <v>4</v>
      </c>
      <c r="AC72" s="10">
        <v>5</v>
      </c>
      <c r="AD72" s="10"/>
      <c r="AG72" s="11" t="s">
        <v>5</v>
      </c>
      <c r="AH72" s="10">
        <v>1</v>
      </c>
      <c r="AI72" s="10">
        <v>2</v>
      </c>
      <c r="AJ72" s="10">
        <v>3</v>
      </c>
      <c r="AK72" s="10">
        <v>4</v>
      </c>
      <c r="AL72" s="10">
        <v>5</v>
      </c>
      <c r="AM72" s="10"/>
      <c r="AP72" s="2" t="s">
        <v>205</v>
      </c>
      <c r="AQ72">
        <f>4*2</f>
        <v>8</v>
      </c>
    </row>
    <row r="73" spans="1:44" ht="15.6" x14ac:dyDescent="0.3">
      <c r="A73">
        <v>5</v>
      </c>
      <c r="B73">
        <v>1</v>
      </c>
      <c r="C73">
        <v>2</v>
      </c>
      <c r="D73">
        <v>3</v>
      </c>
      <c r="E73">
        <v>2</v>
      </c>
      <c r="F73">
        <v>2</v>
      </c>
      <c r="G73">
        <v>4</v>
      </c>
      <c r="H73">
        <v>4</v>
      </c>
      <c r="I73">
        <v>4</v>
      </c>
      <c r="J73">
        <v>3</v>
      </c>
      <c r="K73">
        <v>2</v>
      </c>
      <c r="L73">
        <v>4</v>
      </c>
      <c r="O73" s="42">
        <v>1</v>
      </c>
      <c r="P73">
        <f>COUNTIFS($C$2:$C$137,"1",$L$2:$L$137,"1")</f>
        <v>2</v>
      </c>
      <c r="Q73">
        <f>COUNTIFS($C$2:$C$137,"1",$L$2:$L$137,"2")</f>
        <v>12</v>
      </c>
      <c r="R73">
        <f>COUNTIFS($C$2:$C$137,"1",$L$2:$L$137,"3")</f>
        <v>7</v>
      </c>
      <c r="S73">
        <f>COUNTIFS($C$2:$C$137,"1",$L$2:$L$137,"4")</f>
        <v>12</v>
      </c>
      <c r="T73">
        <f>COUNTIFS($C$2:$C$137,"1",$L$2:$L$137,"5")</f>
        <v>3</v>
      </c>
      <c r="U73" s="56">
        <f>SUM(P73:T73)</f>
        <v>36</v>
      </c>
      <c r="V73" s="43"/>
      <c r="X73" s="42">
        <v>1</v>
      </c>
      <c r="Y73">
        <f>$U73*P$76/$U$76</f>
        <v>1.3235294117647058</v>
      </c>
      <c r="Z73">
        <f t="shared" ref="Z73:AC75" si="26">$U73*Q$76/$U$76</f>
        <v>7.6764705882352944</v>
      </c>
      <c r="AA73">
        <f t="shared" si="26"/>
        <v>11.382352941176471</v>
      </c>
      <c r="AB73">
        <f t="shared" si="26"/>
        <v>10.588235294117647</v>
      </c>
      <c r="AC73">
        <f t="shared" si="26"/>
        <v>5.0294117647058822</v>
      </c>
      <c r="AD73" s="56">
        <f>SUM(Y73:AC73)</f>
        <v>36</v>
      </c>
      <c r="AE73" s="52"/>
      <c r="AG73" s="42">
        <v>1</v>
      </c>
      <c r="AH73" s="3">
        <f t="shared" ref="AH73:AL74" si="27">(P73-Y73)^2/Y73</f>
        <v>0.34575163398692815</v>
      </c>
      <c r="AI73" s="3">
        <f t="shared" si="27"/>
        <v>2.4350912778904661</v>
      </c>
      <c r="AJ73" s="3">
        <f t="shared" si="27"/>
        <v>1.6872625018999849</v>
      </c>
      <c r="AK73" s="3">
        <f t="shared" si="27"/>
        <v>0.18823529411764714</v>
      </c>
      <c r="AL73" s="3">
        <f t="shared" si="27"/>
        <v>0.81888544891640858</v>
      </c>
      <c r="AM73" s="54">
        <f>SUM(AH73:AL73)</f>
        <v>5.4752261568114351</v>
      </c>
      <c r="AP73" s="2" t="s">
        <v>202</v>
      </c>
      <c r="AQ73" s="10">
        <f>SUM(AH73:AL75)</f>
        <v>10.908259106141404</v>
      </c>
    </row>
    <row r="74" spans="1:44" ht="15.6" x14ac:dyDescent="0.3">
      <c r="A74">
        <v>2</v>
      </c>
      <c r="B74">
        <v>2</v>
      </c>
      <c r="C74">
        <v>2</v>
      </c>
      <c r="D74">
        <v>1</v>
      </c>
      <c r="E74">
        <v>2</v>
      </c>
      <c r="F74">
        <v>2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O74" s="42">
        <v>2</v>
      </c>
      <c r="P74">
        <f>COUNTIFS($C$2:$C$137,"2",$L$2:$L$137,"1")</f>
        <v>3</v>
      </c>
      <c r="Q74">
        <f>COUNTIFS($C$2:$C$137,"2",$L$2:$L$137,"2")</f>
        <v>15</v>
      </c>
      <c r="R74">
        <f>COUNTIFS($C$2:$C$137,"2",$L$2:$L$137,"3")</f>
        <v>27</v>
      </c>
      <c r="S74">
        <f>COUNTIFS($C$2:$C$137,"2",$L$2:$L$137,"4")</f>
        <v>20</v>
      </c>
      <c r="T74">
        <f>COUNTIFS($C$2:$C$137,"2",$L$2:$L$137,"5")</f>
        <v>14</v>
      </c>
      <c r="U74" s="56">
        <f>SUM(P74:T74)</f>
        <v>79</v>
      </c>
      <c r="V74" s="43"/>
      <c r="X74" s="42">
        <v>2</v>
      </c>
      <c r="Y74">
        <f>$U74*P$76/$U$76</f>
        <v>2.9044117647058822</v>
      </c>
      <c r="Z74">
        <f t="shared" si="26"/>
        <v>16.845588235294116</v>
      </c>
      <c r="AA74">
        <f t="shared" si="26"/>
        <v>24.977941176470587</v>
      </c>
      <c r="AB74">
        <f t="shared" si="26"/>
        <v>23.235294117647058</v>
      </c>
      <c r="AC74">
        <f t="shared" si="26"/>
        <v>11.036764705882353</v>
      </c>
      <c r="AD74" s="56">
        <f>SUM(Y74:AC74)</f>
        <v>79</v>
      </c>
      <c r="AE74" s="43"/>
      <c r="AG74" s="42">
        <v>2</v>
      </c>
      <c r="AH74">
        <f t="shared" si="27"/>
        <v>3.1459419210722334E-3</v>
      </c>
      <c r="AI74">
        <f t="shared" si="27"/>
        <v>0.20220106811821159</v>
      </c>
      <c r="AJ74">
        <f t="shared" si="27"/>
        <v>0.16369331070667911</v>
      </c>
      <c r="AK74">
        <f t="shared" si="27"/>
        <v>0.4504839910647801</v>
      </c>
      <c r="AL74">
        <f t="shared" si="27"/>
        <v>0.79559215425010754</v>
      </c>
      <c r="AM74" s="54">
        <f>SUM(AH74:AL74)</f>
        <v>1.6151164660608506</v>
      </c>
      <c r="AN74" s="44"/>
      <c r="AP74" s="2" t="s">
        <v>203</v>
      </c>
      <c r="AQ74" s="50">
        <v>15.51</v>
      </c>
    </row>
    <row r="75" spans="1:44" ht="15.6" x14ac:dyDescent="0.3">
      <c r="A75">
        <v>2</v>
      </c>
      <c r="B75">
        <v>2</v>
      </c>
      <c r="C75">
        <v>2</v>
      </c>
      <c r="D75">
        <v>1</v>
      </c>
      <c r="E75">
        <v>2</v>
      </c>
      <c r="F75">
        <v>2</v>
      </c>
      <c r="G75">
        <v>4</v>
      </c>
      <c r="H75">
        <v>4</v>
      </c>
      <c r="I75">
        <v>4</v>
      </c>
      <c r="J75">
        <v>3</v>
      </c>
      <c r="K75">
        <v>4</v>
      </c>
      <c r="L75">
        <v>2</v>
      </c>
      <c r="O75" s="42">
        <v>3</v>
      </c>
      <c r="P75">
        <f>COUNTIFS($C$2:$C$137,"3",$L$2:$L$137,"1")</f>
        <v>0</v>
      </c>
      <c r="Q75">
        <f>COUNTIFS($C$2:$C$137,"3",$L$2:$L$137,"2")</f>
        <v>2</v>
      </c>
      <c r="R75">
        <f>COUNTIFS($C$2:$C$137,"3",$L$2:$L$137,"3")</f>
        <v>9</v>
      </c>
      <c r="S75">
        <f>COUNTIFS($C$2:$C$137,"3",$L$2:$L$137,"4")</f>
        <v>8</v>
      </c>
      <c r="T75">
        <f>COUNTIFS($C$2:$C$137,"3",$L$2:$L$137,"5")</f>
        <v>2</v>
      </c>
      <c r="U75" s="56">
        <f>SUM(P75:T75)</f>
        <v>21</v>
      </c>
      <c r="V75" s="43"/>
      <c r="X75">
        <v>3</v>
      </c>
      <c r="Y75">
        <f>$U75*P$76/$U$76</f>
        <v>0.7720588235294118</v>
      </c>
      <c r="Z75">
        <f t="shared" si="26"/>
        <v>4.4779411764705879</v>
      </c>
      <c r="AA75">
        <f t="shared" si="26"/>
        <v>6.6397058823529411</v>
      </c>
      <c r="AB75">
        <f t="shared" si="26"/>
        <v>6.1764705882352944</v>
      </c>
      <c r="AC75">
        <f t="shared" si="26"/>
        <v>2.9338235294117645</v>
      </c>
      <c r="AD75" s="56">
        <f>SUM(Y75:AC75)</f>
        <v>21</v>
      </c>
      <c r="AE75" s="43"/>
      <c r="AG75" s="42">
        <v>3</v>
      </c>
      <c r="AH75">
        <f>(P75-Y75)^2/Y75</f>
        <v>0.7720588235294118</v>
      </c>
      <c r="AI75">
        <f>(Q75-Z75)^2/Z75</f>
        <v>1.3712088283589294</v>
      </c>
      <c r="AJ75">
        <f>(R75-AA75)^2/AA75</f>
        <v>0.83904143052569868</v>
      </c>
      <c r="AK75">
        <f>(S75-AB75)^2/AB75</f>
        <v>0.53837535014005589</v>
      </c>
      <c r="AL75">
        <f>(T75-AC75)^2/AC75</f>
        <v>0.29723205071502273</v>
      </c>
      <c r="AM75" s="54">
        <f>SUM(AH75:AL75)</f>
        <v>3.8179164832691184</v>
      </c>
      <c r="AN75" s="43"/>
      <c r="AP75" s="2" t="s">
        <v>206</v>
      </c>
      <c r="AQ75">
        <f>_xlfn.CHISQ.DIST.RT(AQ73,AQ72)</f>
        <v>0.20695175025572216</v>
      </c>
      <c r="AR75" t="s">
        <v>220</v>
      </c>
    </row>
    <row r="76" spans="1:44" ht="15.6" x14ac:dyDescent="0.3">
      <c r="A76">
        <v>2</v>
      </c>
      <c r="B76">
        <v>2</v>
      </c>
      <c r="C76">
        <v>2</v>
      </c>
      <c r="D76">
        <v>1</v>
      </c>
      <c r="E76">
        <v>2</v>
      </c>
      <c r="F76">
        <v>2</v>
      </c>
      <c r="G76">
        <v>3</v>
      </c>
      <c r="H76">
        <v>5</v>
      </c>
      <c r="I76">
        <v>4</v>
      </c>
      <c r="J76">
        <v>4</v>
      </c>
      <c r="K76">
        <v>4</v>
      </c>
      <c r="L76">
        <v>3</v>
      </c>
      <c r="O76" s="42"/>
      <c r="P76" s="54">
        <f t="shared" ref="P76:U76" si="28">SUM(P73:P75)</f>
        <v>5</v>
      </c>
      <c r="Q76" s="54">
        <f t="shared" si="28"/>
        <v>29</v>
      </c>
      <c r="R76" s="54">
        <f t="shared" si="28"/>
        <v>43</v>
      </c>
      <c r="S76" s="54">
        <f t="shared" si="28"/>
        <v>40</v>
      </c>
      <c r="T76" s="54">
        <f t="shared" si="28"/>
        <v>19</v>
      </c>
      <c r="U76" s="45">
        <f t="shared" si="28"/>
        <v>136</v>
      </c>
      <c r="V76" s="43"/>
      <c r="X76" s="42"/>
      <c r="Y76" s="54">
        <f>SUM(Y73:Y75)</f>
        <v>5</v>
      </c>
      <c r="Z76" s="54">
        <f>SUM(Z73:Z75)</f>
        <v>28.999999999999996</v>
      </c>
      <c r="AA76" s="54">
        <f>SUM(AA73:AA75)</f>
        <v>43</v>
      </c>
      <c r="AB76" s="54">
        <f>SUM(AB73:AB75)</f>
        <v>40</v>
      </c>
      <c r="AC76" s="54">
        <f>SUM(AC73:AC75)</f>
        <v>19</v>
      </c>
      <c r="AD76" s="48">
        <f>SUM(Y76:AC76)</f>
        <v>136</v>
      </c>
      <c r="AE76" s="43"/>
      <c r="AG76" s="23"/>
      <c r="AH76" s="54">
        <f>SUM(AH73:AH75)</f>
        <v>1.1209563994374121</v>
      </c>
      <c r="AI76" s="54">
        <f>SUM(AI73:AI75)</f>
        <v>4.0085011743676073</v>
      </c>
      <c r="AJ76" s="54">
        <f>SUM(AJ73:AJ75)</f>
        <v>2.6899972431323627</v>
      </c>
      <c r="AK76" s="54">
        <f>SUM(AK73:AK75)</f>
        <v>1.1770946353224832</v>
      </c>
      <c r="AL76" s="54">
        <f>SUM(AL73:AL75)</f>
        <v>1.911709653881539</v>
      </c>
      <c r="AM76" s="45">
        <f>SUM(AH76:AL76)</f>
        <v>10.908259106141404</v>
      </c>
      <c r="AN76" s="43"/>
      <c r="AP76" t="s">
        <v>222</v>
      </c>
    </row>
    <row r="77" spans="1:44" ht="15.6" x14ac:dyDescent="0.3">
      <c r="A77">
        <v>2</v>
      </c>
      <c r="B77">
        <v>2</v>
      </c>
      <c r="C77">
        <v>2</v>
      </c>
      <c r="D77">
        <v>1</v>
      </c>
      <c r="E77">
        <v>2</v>
      </c>
      <c r="F77">
        <v>2</v>
      </c>
      <c r="G77">
        <v>4</v>
      </c>
      <c r="H77">
        <v>4</v>
      </c>
      <c r="I77">
        <v>4</v>
      </c>
      <c r="J77">
        <v>4</v>
      </c>
      <c r="K77">
        <v>4</v>
      </c>
      <c r="L77">
        <v>3</v>
      </c>
      <c r="O77" s="42"/>
      <c r="U77" s="43"/>
      <c r="V77" s="43"/>
      <c r="X77" s="42"/>
      <c r="AD77" s="43"/>
      <c r="AE77" s="43"/>
      <c r="AG77" s="61"/>
      <c r="AM77" s="45"/>
      <c r="AN77" s="43"/>
      <c r="AP77" s="2" t="s">
        <v>299</v>
      </c>
      <c r="AQ77" s="50">
        <f>SQRT(AQ73/($AQ$9*$AQ$10))</f>
        <v>0.20025956599518208</v>
      </c>
      <c r="AR77" t="s">
        <v>337</v>
      </c>
    </row>
    <row r="78" spans="1:44" ht="15.6" x14ac:dyDescent="0.3">
      <c r="A78">
        <v>2</v>
      </c>
      <c r="B78">
        <v>2</v>
      </c>
      <c r="C78">
        <v>2</v>
      </c>
      <c r="D78">
        <v>1</v>
      </c>
      <c r="E78">
        <v>2</v>
      </c>
      <c r="F78">
        <v>1</v>
      </c>
      <c r="G78">
        <v>5</v>
      </c>
      <c r="H78">
        <v>5</v>
      </c>
      <c r="I78">
        <v>4</v>
      </c>
      <c r="J78">
        <v>4</v>
      </c>
      <c r="K78">
        <v>4</v>
      </c>
      <c r="L78">
        <v>4</v>
      </c>
      <c r="O78" s="42"/>
      <c r="U78" s="43"/>
      <c r="V78" s="43"/>
      <c r="X78" s="42"/>
      <c r="AD78" s="43"/>
      <c r="AE78" s="43"/>
      <c r="AG78" s="61"/>
      <c r="AM78" s="45"/>
      <c r="AN78" s="43"/>
    </row>
    <row r="79" spans="1:44" ht="18" x14ac:dyDescent="0.35">
      <c r="A79">
        <v>2</v>
      </c>
      <c r="B79">
        <v>1</v>
      </c>
      <c r="C79">
        <v>2</v>
      </c>
      <c r="D79">
        <v>1</v>
      </c>
      <c r="E79">
        <v>2</v>
      </c>
      <c r="F79">
        <v>2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P79" s="43"/>
      <c r="Q79" s="43"/>
      <c r="R79" s="43"/>
      <c r="S79" s="43"/>
      <c r="T79" s="43"/>
      <c r="U79" s="48"/>
      <c r="V79" s="46"/>
      <c r="X79" s="42"/>
      <c r="AD79" s="43"/>
      <c r="AE79" s="43"/>
      <c r="AG79" s="61"/>
      <c r="AM79" s="45"/>
      <c r="AN79" s="43"/>
    </row>
    <row r="80" spans="1:44" ht="18" x14ac:dyDescent="0.35">
      <c r="A80">
        <v>5</v>
      </c>
      <c r="B80">
        <v>2</v>
      </c>
      <c r="C80">
        <v>1</v>
      </c>
      <c r="D80">
        <v>4</v>
      </c>
      <c r="E80">
        <v>1</v>
      </c>
      <c r="F80">
        <v>2</v>
      </c>
      <c r="G80">
        <v>4</v>
      </c>
      <c r="H80">
        <v>5</v>
      </c>
      <c r="I80">
        <v>5</v>
      </c>
      <c r="J80">
        <v>5</v>
      </c>
      <c r="K80">
        <v>4</v>
      </c>
      <c r="L80">
        <v>5</v>
      </c>
      <c r="Y80" s="43"/>
      <c r="Z80" s="43"/>
      <c r="AA80" s="43"/>
      <c r="AB80" s="43"/>
      <c r="AC80" s="43"/>
      <c r="AD80" s="48"/>
      <c r="AE80" s="43"/>
      <c r="AH80" s="48"/>
      <c r="AI80" s="48"/>
      <c r="AJ80" s="48"/>
      <c r="AK80" s="48"/>
      <c r="AL80" s="48"/>
      <c r="AM80" s="46"/>
      <c r="AN80" s="43"/>
    </row>
    <row r="81" spans="1:12" x14ac:dyDescent="0.3">
      <c r="A81">
        <v>5</v>
      </c>
      <c r="B81">
        <v>2</v>
      </c>
      <c r="C81">
        <v>1</v>
      </c>
      <c r="D81">
        <v>5</v>
      </c>
      <c r="E81">
        <v>1</v>
      </c>
      <c r="F81">
        <v>2</v>
      </c>
      <c r="G81">
        <v>2</v>
      </c>
      <c r="H81">
        <v>4</v>
      </c>
      <c r="I81">
        <v>5</v>
      </c>
      <c r="J81">
        <v>2</v>
      </c>
      <c r="K81">
        <v>2</v>
      </c>
      <c r="L81">
        <v>2</v>
      </c>
    </row>
    <row r="82" spans="1:12" x14ac:dyDescent="0.3">
      <c r="A82">
        <v>3</v>
      </c>
      <c r="B82">
        <v>2</v>
      </c>
      <c r="C82">
        <v>1</v>
      </c>
      <c r="D82">
        <v>4</v>
      </c>
      <c r="E82">
        <v>1</v>
      </c>
      <c r="F82">
        <v>2</v>
      </c>
      <c r="G82">
        <v>5</v>
      </c>
      <c r="H82">
        <v>5</v>
      </c>
      <c r="I82">
        <v>4</v>
      </c>
      <c r="J82">
        <v>4</v>
      </c>
      <c r="K82">
        <v>5</v>
      </c>
      <c r="L82">
        <v>5</v>
      </c>
    </row>
    <row r="83" spans="1:12" x14ac:dyDescent="0.3">
      <c r="A83">
        <v>2</v>
      </c>
      <c r="B83">
        <v>2</v>
      </c>
      <c r="C83">
        <v>2</v>
      </c>
      <c r="D83">
        <v>2</v>
      </c>
      <c r="E83">
        <v>2</v>
      </c>
      <c r="F83">
        <v>3</v>
      </c>
      <c r="G83">
        <v>4</v>
      </c>
      <c r="H83">
        <v>4</v>
      </c>
      <c r="I83">
        <v>4</v>
      </c>
      <c r="J83">
        <v>2</v>
      </c>
      <c r="K83">
        <v>3</v>
      </c>
      <c r="L83">
        <v>5</v>
      </c>
    </row>
    <row r="84" spans="1:12" x14ac:dyDescent="0.3">
      <c r="A84">
        <v>2</v>
      </c>
      <c r="B84">
        <v>2</v>
      </c>
      <c r="C84">
        <v>1</v>
      </c>
      <c r="D84">
        <v>2</v>
      </c>
      <c r="E84">
        <v>2</v>
      </c>
      <c r="F84">
        <v>3</v>
      </c>
      <c r="G84">
        <v>3</v>
      </c>
      <c r="H84">
        <v>4</v>
      </c>
      <c r="I84">
        <v>4</v>
      </c>
      <c r="J84">
        <v>3</v>
      </c>
      <c r="K84">
        <v>3</v>
      </c>
      <c r="L84">
        <v>4</v>
      </c>
    </row>
    <row r="85" spans="1:12" x14ac:dyDescent="0.3">
      <c r="A85">
        <v>2</v>
      </c>
      <c r="B85">
        <v>2</v>
      </c>
      <c r="C85">
        <v>2</v>
      </c>
      <c r="D85">
        <v>2</v>
      </c>
      <c r="E85">
        <v>2</v>
      </c>
      <c r="F85">
        <v>2</v>
      </c>
      <c r="G85">
        <v>4</v>
      </c>
      <c r="H85">
        <v>4</v>
      </c>
      <c r="I85">
        <v>5</v>
      </c>
      <c r="J85">
        <v>3</v>
      </c>
      <c r="K85">
        <v>4</v>
      </c>
      <c r="L85">
        <v>4</v>
      </c>
    </row>
    <row r="86" spans="1:12" x14ac:dyDescent="0.3">
      <c r="A86">
        <v>6</v>
      </c>
      <c r="B86">
        <v>2</v>
      </c>
      <c r="C86">
        <v>3</v>
      </c>
      <c r="D86">
        <v>5</v>
      </c>
      <c r="E86">
        <v>4</v>
      </c>
      <c r="F86">
        <v>2</v>
      </c>
      <c r="G86">
        <v>3</v>
      </c>
      <c r="H86">
        <v>4</v>
      </c>
      <c r="I86">
        <v>4</v>
      </c>
      <c r="J86">
        <v>4</v>
      </c>
      <c r="K86">
        <v>4</v>
      </c>
      <c r="L86">
        <v>5</v>
      </c>
    </row>
    <row r="87" spans="1:12" x14ac:dyDescent="0.3">
      <c r="A87">
        <v>6</v>
      </c>
      <c r="B87">
        <v>2</v>
      </c>
      <c r="C87">
        <v>1</v>
      </c>
      <c r="D87">
        <v>5</v>
      </c>
      <c r="E87">
        <v>2</v>
      </c>
      <c r="F87">
        <v>2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</row>
    <row r="88" spans="1:12" x14ac:dyDescent="0.3">
      <c r="A88">
        <v>3</v>
      </c>
      <c r="B88">
        <v>2</v>
      </c>
      <c r="C88">
        <v>1</v>
      </c>
      <c r="D88">
        <v>2</v>
      </c>
      <c r="E88">
        <v>1</v>
      </c>
      <c r="F88">
        <v>2</v>
      </c>
      <c r="G88">
        <v>5</v>
      </c>
      <c r="H88">
        <v>5</v>
      </c>
      <c r="I88">
        <v>4</v>
      </c>
      <c r="J88">
        <v>4</v>
      </c>
      <c r="K88">
        <v>5</v>
      </c>
      <c r="L88">
        <v>4</v>
      </c>
    </row>
    <row r="89" spans="1:12" x14ac:dyDescent="0.3">
      <c r="A89">
        <v>6</v>
      </c>
      <c r="B89">
        <v>2</v>
      </c>
      <c r="C89">
        <v>3</v>
      </c>
      <c r="D89">
        <v>5</v>
      </c>
      <c r="E89">
        <v>4</v>
      </c>
      <c r="F89">
        <v>2</v>
      </c>
      <c r="G89">
        <v>4</v>
      </c>
      <c r="H89">
        <v>4</v>
      </c>
      <c r="I89">
        <v>4</v>
      </c>
      <c r="J89">
        <v>4</v>
      </c>
      <c r="K89">
        <v>4</v>
      </c>
      <c r="L89">
        <v>3</v>
      </c>
    </row>
    <row r="90" spans="1:12" x14ac:dyDescent="0.3">
      <c r="A90">
        <v>3</v>
      </c>
      <c r="B90">
        <v>2</v>
      </c>
      <c r="C90">
        <v>2</v>
      </c>
      <c r="D90">
        <v>3</v>
      </c>
      <c r="E90">
        <v>2</v>
      </c>
      <c r="F90">
        <v>1</v>
      </c>
      <c r="G90">
        <v>3</v>
      </c>
      <c r="H90">
        <v>4</v>
      </c>
      <c r="I90">
        <v>5</v>
      </c>
      <c r="J90">
        <v>3</v>
      </c>
      <c r="K90">
        <v>2</v>
      </c>
      <c r="L90">
        <v>3</v>
      </c>
    </row>
    <row r="91" spans="1:12" x14ac:dyDescent="0.3">
      <c r="A91">
        <v>3</v>
      </c>
      <c r="B91">
        <v>2</v>
      </c>
      <c r="C91">
        <v>2</v>
      </c>
      <c r="D91">
        <v>3</v>
      </c>
      <c r="E91">
        <v>2</v>
      </c>
      <c r="F91">
        <v>2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</row>
    <row r="92" spans="1:12" x14ac:dyDescent="0.3">
      <c r="A92">
        <v>3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5</v>
      </c>
      <c r="I92">
        <v>5</v>
      </c>
      <c r="J92">
        <v>2</v>
      </c>
      <c r="K92">
        <v>3</v>
      </c>
      <c r="L92">
        <v>3</v>
      </c>
    </row>
    <row r="93" spans="1:12" x14ac:dyDescent="0.3">
      <c r="A93">
        <v>3</v>
      </c>
      <c r="B93">
        <v>2</v>
      </c>
      <c r="C93">
        <v>2</v>
      </c>
      <c r="D93">
        <v>2</v>
      </c>
      <c r="E93">
        <v>2</v>
      </c>
      <c r="F93">
        <v>2</v>
      </c>
      <c r="G93">
        <v>3</v>
      </c>
      <c r="H93">
        <v>5</v>
      </c>
      <c r="I93">
        <v>4</v>
      </c>
      <c r="J93">
        <v>3</v>
      </c>
      <c r="K93">
        <v>4</v>
      </c>
      <c r="L93">
        <v>3</v>
      </c>
    </row>
    <row r="94" spans="1:12" x14ac:dyDescent="0.3">
      <c r="A94">
        <v>4</v>
      </c>
      <c r="B94">
        <v>2</v>
      </c>
      <c r="C94">
        <v>2</v>
      </c>
      <c r="D94">
        <v>4</v>
      </c>
      <c r="E94">
        <v>2</v>
      </c>
      <c r="F94">
        <v>3</v>
      </c>
      <c r="G94">
        <v>5</v>
      </c>
      <c r="H94">
        <v>4</v>
      </c>
      <c r="I94">
        <v>4</v>
      </c>
      <c r="J94">
        <v>4</v>
      </c>
      <c r="K94">
        <v>4</v>
      </c>
      <c r="L94">
        <v>2</v>
      </c>
    </row>
    <row r="95" spans="1:12" x14ac:dyDescent="0.3">
      <c r="A95">
        <v>4</v>
      </c>
      <c r="B95">
        <v>2</v>
      </c>
      <c r="C95">
        <v>3</v>
      </c>
      <c r="D95">
        <v>5</v>
      </c>
      <c r="E95">
        <v>4</v>
      </c>
      <c r="F95">
        <v>3</v>
      </c>
      <c r="G95">
        <v>4</v>
      </c>
      <c r="H95">
        <v>4</v>
      </c>
      <c r="I95">
        <v>5</v>
      </c>
      <c r="J95">
        <v>3</v>
      </c>
      <c r="K95">
        <v>4</v>
      </c>
      <c r="L95">
        <v>3</v>
      </c>
    </row>
    <row r="96" spans="1:12" x14ac:dyDescent="0.3">
      <c r="A96">
        <v>2</v>
      </c>
      <c r="B96">
        <v>2</v>
      </c>
      <c r="C96">
        <v>2</v>
      </c>
      <c r="D96">
        <v>2</v>
      </c>
      <c r="E96">
        <v>2</v>
      </c>
      <c r="F96">
        <v>3</v>
      </c>
      <c r="G96">
        <v>3</v>
      </c>
      <c r="H96">
        <v>5</v>
      </c>
      <c r="I96">
        <v>3</v>
      </c>
      <c r="J96">
        <v>4</v>
      </c>
      <c r="K96">
        <v>5</v>
      </c>
      <c r="L96">
        <v>2</v>
      </c>
    </row>
    <row r="97" spans="1:12" x14ac:dyDescent="0.3">
      <c r="A97">
        <v>4</v>
      </c>
      <c r="B97">
        <v>2</v>
      </c>
      <c r="C97">
        <v>3</v>
      </c>
      <c r="D97">
        <v>5</v>
      </c>
      <c r="E97">
        <v>4</v>
      </c>
      <c r="F97">
        <v>2</v>
      </c>
      <c r="G97">
        <v>2</v>
      </c>
      <c r="H97">
        <v>4</v>
      </c>
      <c r="I97">
        <v>4</v>
      </c>
      <c r="J97">
        <v>2</v>
      </c>
      <c r="K97">
        <v>2</v>
      </c>
      <c r="L97">
        <v>4</v>
      </c>
    </row>
    <row r="98" spans="1:12" x14ac:dyDescent="0.3">
      <c r="A98">
        <v>3</v>
      </c>
      <c r="B98">
        <v>2</v>
      </c>
      <c r="C98">
        <v>2</v>
      </c>
      <c r="D98">
        <v>1</v>
      </c>
      <c r="E98">
        <v>2</v>
      </c>
      <c r="F98">
        <v>2</v>
      </c>
      <c r="G98">
        <v>5</v>
      </c>
      <c r="H98">
        <v>5</v>
      </c>
      <c r="I98">
        <v>5</v>
      </c>
      <c r="J98">
        <v>4</v>
      </c>
      <c r="K98">
        <v>4</v>
      </c>
      <c r="L98">
        <v>5</v>
      </c>
    </row>
    <row r="99" spans="1:12" x14ac:dyDescent="0.3">
      <c r="A99">
        <v>3</v>
      </c>
      <c r="B99">
        <v>2</v>
      </c>
      <c r="C99">
        <v>2</v>
      </c>
      <c r="D99">
        <v>2</v>
      </c>
      <c r="E99">
        <v>2</v>
      </c>
      <c r="F99">
        <v>2</v>
      </c>
      <c r="G99">
        <v>4</v>
      </c>
      <c r="H99">
        <v>4</v>
      </c>
      <c r="I99">
        <v>4</v>
      </c>
      <c r="J99">
        <v>3</v>
      </c>
      <c r="K99">
        <v>4</v>
      </c>
      <c r="L99">
        <v>4</v>
      </c>
    </row>
    <row r="100" spans="1:12" x14ac:dyDescent="0.3">
      <c r="A100">
        <v>4</v>
      </c>
      <c r="B100">
        <v>2</v>
      </c>
      <c r="C100">
        <v>2</v>
      </c>
      <c r="D100">
        <v>4</v>
      </c>
      <c r="E100">
        <v>4</v>
      </c>
      <c r="F100">
        <v>2</v>
      </c>
      <c r="G100">
        <v>3</v>
      </c>
      <c r="H100">
        <v>2</v>
      </c>
      <c r="I100">
        <v>4</v>
      </c>
      <c r="J100">
        <v>2</v>
      </c>
      <c r="K100">
        <v>2</v>
      </c>
      <c r="L100">
        <v>4</v>
      </c>
    </row>
    <row r="101" spans="1:12" x14ac:dyDescent="0.3">
      <c r="A101">
        <v>3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4</v>
      </c>
      <c r="H101">
        <v>4</v>
      </c>
      <c r="I101">
        <v>5</v>
      </c>
      <c r="J101">
        <v>4</v>
      </c>
      <c r="K101">
        <v>4</v>
      </c>
      <c r="L101">
        <v>2</v>
      </c>
    </row>
    <row r="102" spans="1:12" x14ac:dyDescent="0.3">
      <c r="A102">
        <v>5</v>
      </c>
      <c r="B102">
        <v>2</v>
      </c>
      <c r="C102">
        <v>3</v>
      </c>
      <c r="D102">
        <v>5</v>
      </c>
      <c r="E102">
        <v>4</v>
      </c>
      <c r="F102">
        <v>2</v>
      </c>
      <c r="G102">
        <v>4</v>
      </c>
      <c r="H102">
        <v>4</v>
      </c>
      <c r="I102">
        <v>3</v>
      </c>
      <c r="J102">
        <v>2</v>
      </c>
      <c r="K102">
        <v>3</v>
      </c>
      <c r="L102">
        <v>3</v>
      </c>
    </row>
    <row r="103" spans="1:12" x14ac:dyDescent="0.3">
      <c r="A103">
        <v>4</v>
      </c>
      <c r="B103">
        <v>2</v>
      </c>
      <c r="C103">
        <v>1</v>
      </c>
      <c r="D103">
        <v>2</v>
      </c>
      <c r="E103">
        <v>1</v>
      </c>
      <c r="F103">
        <v>2</v>
      </c>
      <c r="G103">
        <v>3</v>
      </c>
      <c r="H103">
        <v>4</v>
      </c>
      <c r="I103">
        <v>4</v>
      </c>
      <c r="J103">
        <v>4</v>
      </c>
      <c r="K103">
        <v>3</v>
      </c>
      <c r="L103">
        <v>3</v>
      </c>
    </row>
    <row r="104" spans="1:12" x14ac:dyDescent="0.3">
      <c r="A104">
        <v>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4</v>
      </c>
      <c r="H104">
        <v>3</v>
      </c>
      <c r="I104">
        <v>3</v>
      </c>
      <c r="J104">
        <v>3</v>
      </c>
      <c r="K104">
        <v>2</v>
      </c>
      <c r="L104">
        <v>2</v>
      </c>
    </row>
    <row r="105" spans="1:12" x14ac:dyDescent="0.3">
      <c r="A105">
        <v>3</v>
      </c>
      <c r="B105">
        <v>2</v>
      </c>
      <c r="C105">
        <v>2</v>
      </c>
      <c r="D105">
        <v>3</v>
      </c>
      <c r="E105">
        <v>2</v>
      </c>
      <c r="F105">
        <v>3</v>
      </c>
      <c r="G105">
        <v>2</v>
      </c>
      <c r="H105">
        <v>5</v>
      </c>
      <c r="I105">
        <v>5</v>
      </c>
      <c r="J105">
        <v>4</v>
      </c>
      <c r="K105">
        <v>4</v>
      </c>
      <c r="L105">
        <v>3</v>
      </c>
    </row>
    <row r="106" spans="1:12" x14ac:dyDescent="0.3">
      <c r="A106">
        <v>3</v>
      </c>
      <c r="B106">
        <v>2</v>
      </c>
      <c r="C106">
        <v>2</v>
      </c>
      <c r="D106">
        <v>3</v>
      </c>
      <c r="E106">
        <v>2</v>
      </c>
      <c r="F106">
        <v>3</v>
      </c>
      <c r="G106">
        <v>4</v>
      </c>
      <c r="H106">
        <v>5</v>
      </c>
      <c r="I106">
        <v>4</v>
      </c>
      <c r="J106">
        <v>4</v>
      </c>
      <c r="K106">
        <v>4</v>
      </c>
      <c r="L106">
        <v>3</v>
      </c>
    </row>
    <row r="107" spans="1:12" x14ac:dyDescent="0.3">
      <c r="A107">
        <v>5</v>
      </c>
      <c r="B107">
        <v>2</v>
      </c>
      <c r="C107">
        <v>3</v>
      </c>
      <c r="D107">
        <v>5</v>
      </c>
      <c r="E107">
        <v>4</v>
      </c>
      <c r="F107">
        <v>3</v>
      </c>
      <c r="G107">
        <v>3</v>
      </c>
      <c r="H107">
        <v>4</v>
      </c>
      <c r="I107">
        <v>5</v>
      </c>
      <c r="J107">
        <v>4</v>
      </c>
      <c r="K107">
        <v>4</v>
      </c>
      <c r="L107">
        <v>4</v>
      </c>
    </row>
    <row r="108" spans="1:12" x14ac:dyDescent="0.3">
      <c r="A108">
        <v>4</v>
      </c>
      <c r="B108">
        <v>2</v>
      </c>
      <c r="C108">
        <v>2</v>
      </c>
      <c r="D108">
        <v>5</v>
      </c>
      <c r="E108">
        <v>4</v>
      </c>
      <c r="F108">
        <v>2</v>
      </c>
      <c r="G108">
        <v>3</v>
      </c>
      <c r="H108">
        <v>4</v>
      </c>
      <c r="I108">
        <v>4</v>
      </c>
      <c r="J108">
        <v>3</v>
      </c>
      <c r="K108">
        <v>3</v>
      </c>
      <c r="L108">
        <v>3</v>
      </c>
    </row>
    <row r="109" spans="1:12" x14ac:dyDescent="0.3">
      <c r="A109">
        <v>2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3</v>
      </c>
      <c r="H109">
        <v>4</v>
      </c>
      <c r="I109">
        <v>3</v>
      </c>
      <c r="J109">
        <v>2</v>
      </c>
      <c r="K109">
        <v>3</v>
      </c>
      <c r="L109">
        <v>4</v>
      </c>
    </row>
    <row r="110" spans="1:12" x14ac:dyDescent="0.3">
      <c r="A110">
        <v>3</v>
      </c>
      <c r="B110">
        <v>2</v>
      </c>
      <c r="C110">
        <v>1</v>
      </c>
      <c r="D110">
        <v>2</v>
      </c>
      <c r="E110">
        <v>2</v>
      </c>
      <c r="F110">
        <v>2</v>
      </c>
      <c r="G110">
        <v>4</v>
      </c>
      <c r="H110">
        <v>5</v>
      </c>
      <c r="I110">
        <v>4</v>
      </c>
      <c r="J110">
        <v>2</v>
      </c>
      <c r="K110">
        <v>2</v>
      </c>
      <c r="L110">
        <v>2</v>
      </c>
    </row>
    <row r="111" spans="1:12" x14ac:dyDescent="0.3">
      <c r="A111">
        <v>3</v>
      </c>
      <c r="B111">
        <v>2</v>
      </c>
      <c r="C111">
        <v>2</v>
      </c>
      <c r="D111">
        <v>2</v>
      </c>
      <c r="E111">
        <v>2</v>
      </c>
      <c r="F111">
        <v>3</v>
      </c>
      <c r="G111">
        <v>4</v>
      </c>
      <c r="H111">
        <v>5</v>
      </c>
      <c r="I111">
        <v>4</v>
      </c>
      <c r="J111">
        <v>3</v>
      </c>
      <c r="K111">
        <v>4</v>
      </c>
      <c r="L111">
        <v>4</v>
      </c>
    </row>
    <row r="112" spans="1:12" x14ac:dyDescent="0.3">
      <c r="A112">
        <v>4</v>
      </c>
      <c r="B112">
        <v>2</v>
      </c>
      <c r="C112">
        <v>2</v>
      </c>
      <c r="D112">
        <v>3</v>
      </c>
      <c r="E112">
        <v>3</v>
      </c>
      <c r="F112">
        <v>2</v>
      </c>
      <c r="G112">
        <v>3</v>
      </c>
      <c r="H112">
        <v>4</v>
      </c>
      <c r="I112">
        <v>4</v>
      </c>
      <c r="J112">
        <v>3</v>
      </c>
      <c r="K112">
        <v>5</v>
      </c>
      <c r="L112">
        <v>3</v>
      </c>
    </row>
    <row r="113" spans="1:12" x14ac:dyDescent="0.3">
      <c r="A113">
        <v>5</v>
      </c>
      <c r="B113">
        <v>2</v>
      </c>
      <c r="C113">
        <v>2</v>
      </c>
      <c r="D113">
        <v>3</v>
      </c>
      <c r="E113">
        <v>4</v>
      </c>
      <c r="F113">
        <v>2</v>
      </c>
      <c r="G113">
        <v>4</v>
      </c>
      <c r="H113">
        <v>5</v>
      </c>
      <c r="I113">
        <v>4</v>
      </c>
      <c r="J113">
        <v>4</v>
      </c>
      <c r="K113">
        <v>4</v>
      </c>
      <c r="L113">
        <v>4</v>
      </c>
    </row>
    <row r="114" spans="1:12" x14ac:dyDescent="0.3">
      <c r="A114">
        <v>5</v>
      </c>
      <c r="B114">
        <v>2</v>
      </c>
      <c r="C114">
        <v>1</v>
      </c>
      <c r="D114">
        <v>4</v>
      </c>
      <c r="E114">
        <v>2</v>
      </c>
      <c r="F114">
        <v>2</v>
      </c>
      <c r="G114">
        <v>3</v>
      </c>
      <c r="H114">
        <v>5</v>
      </c>
      <c r="I114">
        <v>4</v>
      </c>
      <c r="J114">
        <v>4</v>
      </c>
      <c r="K114">
        <v>4</v>
      </c>
      <c r="L114">
        <v>4</v>
      </c>
    </row>
    <row r="115" spans="1:12" x14ac:dyDescent="0.3">
      <c r="A115">
        <v>2</v>
      </c>
      <c r="B115">
        <v>2</v>
      </c>
      <c r="C115">
        <v>2</v>
      </c>
      <c r="D115">
        <v>1</v>
      </c>
      <c r="E115">
        <v>2</v>
      </c>
      <c r="F115">
        <v>2</v>
      </c>
      <c r="G115">
        <v>3</v>
      </c>
      <c r="H115">
        <v>4</v>
      </c>
      <c r="I115">
        <v>5</v>
      </c>
      <c r="J115">
        <v>4</v>
      </c>
      <c r="K115">
        <v>4</v>
      </c>
      <c r="L115">
        <v>5</v>
      </c>
    </row>
    <row r="116" spans="1:12" x14ac:dyDescent="0.3">
      <c r="A116">
        <v>2</v>
      </c>
      <c r="B116">
        <v>2</v>
      </c>
      <c r="C116">
        <v>2</v>
      </c>
      <c r="D116">
        <v>1</v>
      </c>
      <c r="E116">
        <v>2</v>
      </c>
      <c r="F116">
        <v>3</v>
      </c>
      <c r="G116">
        <v>4</v>
      </c>
      <c r="H116">
        <v>5</v>
      </c>
      <c r="I116">
        <v>5</v>
      </c>
      <c r="J116">
        <v>4</v>
      </c>
      <c r="K116">
        <v>4</v>
      </c>
      <c r="L116">
        <v>4</v>
      </c>
    </row>
    <row r="117" spans="1:12" x14ac:dyDescent="0.3">
      <c r="A117">
        <v>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5</v>
      </c>
      <c r="I117">
        <v>5</v>
      </c>
      <c r="J117">
        <v>3</v>
      </c>
      <c r="K117">
        <v>4</v>
      </c>
      <c r="L117">
        <v>4</v>
      </c>
    </row>
    <row r="118" spans="1:12" x14ac:dyDescent="0.3">
      <c r="A118">
        <v>4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3</v>
      </c>
    </row>
    <row r="119" spans="1:12" x14ac:dyDescent="0.3">
      <c r="A119">
        <v>3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4</v>
      </c>
      <c r="H119">
        <v>5</v>
      </c>
      <c r="I119">
        <v>5</v>
      </c>
      <c r="J119">
        <v>2</v>
      </c>
      <c r="K119">
        <v>3</v>
      </c>
      <c r="L119">
        <v>3</v>
      </c>
    </row>
    <row r="120" spans="1:12" x14ac:dyDescent="0.3">
      <c r="A120">
        <v>3</v>
      </c>
      <c r="B120">
        <v>2</v>
      </c>
      <c r="C120">
        <v>1</v>
      </c>
      <c r="D120">
        <v>2</v>
      </c>
      <c r="E120">
        <v>1</v>
      </c>
      <c r="F120">
        <v>3</v>
      </c>
      <c r="G120">
        <v>4</v>
      </c>
      <c r="H120">
        <v>5</v>
      </c>
      <c r="I120">
        <v>4</v>
      </c>
      <c r="J120">
        <v>1</v>
      </c>
      <c r="K120">
        <v>3</v>
      </c>
      <c r="L120">
        <v>2</v>
      </c>
    </row>
    <row r="121" spans="1:12" x14ac:dyDescent="0.3">
      <c r="A121">
        <v>3</v>
      </c>
      <c r="B121">
        <v>2</v>
      </c>
      <c r="C121">
        <v>2</v>
      </c>
      <c r="D121">
        <v>3</v>
      </c>
      <c r="E121">
        <v>3</v>
      </c>
      <c r="F121">
        <v>3</v>
      </c>
      <c r="G121">
        <v>2</v>
      </c>
      <c r="H121">
        <v>4</v>
      </c>
      <c r="I121">
        <v>5</v>
      </c>
      <c r="J121">
        <v>3</v>
      </c>
      <c r="K121">
        <v>4</v>
      </c>
      <c r="L121">
        <v>5</v>
      </c>
    </row>
    <row r="122" spans="1:12" x14ac:dyDescent="0.3">
      <c r="A122">
        <v>6</v>
      </c>
      <c r="B122">
        <v>2</v>
      </c>
      <c r="C122">
        <v>1</v>
      </c>
      <c r="D122">
        <v>3</v>
      </c>
      <c r="E122">
        <v>1</v>
      </c>
      <c r="F122">
        <v>2</v>
      </c>
      <c r="G122">
        <v>4</v>
      </c>
      <c r="H122">
        <v>5</v>
      </c>
      <c r="I122">
        <v>5</v>
      </c>
      <c r="J122">
        <v>5</v>
      </c>
      <c r="K122">
        <v>5</v>
      </c>
      <c r="L122">
        <v>4</v>
      </c>
    </row>
    <row r="123" spans="1:12" x14ac:dyDescent="0.3">
      <c r="A123">
        <v>4</v>
      </c>
      <c r="B123">
        <v>2</v>
      </c>
      <c r="C123">
        <v>3</v>
      </c>
      <c r="D123">
        <v>4</v>
      </c>
      <c r="E123">
        <v>4</v>
      </c>
      <c r="F123">
        <v>2</v>
      </c>
      <c r="G123">
        <v>1</v>
      </c>
      <c r="H123">
        <v>5</v>
      </c>
      <c r="I123">
        <v>4</v>
      </c>
      <c r="J123">
        <v>1</v>
      </c>
      <c r="K123">
        <v>3</v>
      </c>
      <c r="L123">
        <v>2</v>
      </c>
    </row>
    <row r="124" spans="1:12" x14ac:dyDescent="0.3">
      <c r="A124">
        <v>4</v>
      </c>
      <c r="B124">
        <v>2</v>
      </c>
      <c r="C124">
        <v>3</v>
      </c>
      <c r="D124">
        <v>5</v>
      </c>
      <c r="E124">
        <v>3</v>
      </c>
      <c r="F124">
        <v>2</v>
      </c>
      <c r="G124">
        <v>3</v>
      </c>
      <c r="H124">
        <v>3</v>
      </c>
      <c r="I124">
        <v>4</v>
      </c>
      <c r="J124">
        <v>3</v>
      </c>
      <c r="K124">
        <v>2</v>
      </c>
      <c r="L124">
        <v>3</v>
      </c>
    </row>
    <row r="125" spans="1:12" x14ac:dyDescent="0.3">
      <c r="A125">
        <v>5</v>
      </c>
      <c r="B125">
        <v>2</v>
      </c>
      <c r="C125">
        <v>2</v>
      </c>
      <c r="D125">
        <v>5</v>
      </c>
      <c r="E125">
        <v>4</v>
      </c>
      <c r="F125">
        <v>2</v>
      </c>
      <c r="G125">
        <v>5</v>
      </c>
      <c r="H125">
        <v>4</v>
      </c>
      <c r="I125">
        <v>4</v>
      </c>
      <c r="J125">
        <v>4</v>
      </c>
      <c r="K125">
        <v>5</v>
      </c>
      <c r="L125">
        <v>5</v>
      </c>
    </row>
    <row r="126" spans="1:12" x14ac:dyDescent="0.3">
      <c r="A126">
        <v>3</v>
      </c>
      <c r="B126">
        <v>2</v>
      </c>
      <c r="C126">
        <v>2</v>
      </c>
      <c r="D126">
        <v>3</v>
      </c>
      <c r="E126">
        <v>2</v>
      </c>
      <c r="F126">
        <v>3</v>
      </c>
      <c r="G126">
        <v>3</v>
      </c>
      <c r="H126">
        <v>4</v>
      </c>
      <c r="I126">
        <v>5</v>
      </c>
      <c r="J126">
        <v>3</v>
      </c>
      <c r="K126">
        <v>5</v>
      </c>
      <c r="L126">
        <v>3</v>
      </c>
    </row>
    <row r="127" spans="1:12" x14ac:dyDescent="0.3">
      <c r="A127">
        <v>6</v>
      </c>
      <c r="B127">
        <v>2</v>
      </c>
      <c r="C127">
        <v>3</v>
      </c>
      <c r="D127">
        <v>5</v>
      </c>
      <c r="E127">
        <v>4</v>
      </c>
      <c r="F127">
        <v>2</v>
      </c>
      <c r="G127">
        <v>5</v>
      </c>
      <c r="H127">
        <v>4</v>
      </c>
      <c r="I127">
        <v>4</v>
      </c>
      <c r="J127">
        <v>3</v>
      </c>
      <c r="K127">
        <v>4</v>
      </c>
      <c r="L127">
        <v>4</v>
      </c>
    </row>
    <row r="128" spans="1:12" x14ac:dyDescent="0.3">
      <c r="A128">
        <v>3</v>
      </c>
      <c r="B128">
        <v>2</v>
      </c>
      <c r="C128">
        <v>2</v>
      </c>
      <c r="D128">
        <v>2</v>
      </c>
      <c r="E128">
        <v>2</v>
      </c>
      <c r="F128">
        <v>3</v>
      </c>
      <c r="G128">
        <v>2</v>
      </c>
      <c r="H128">
        <v>3</v>
      </c>
      <c r="I128">
        <v>4</v>
      </c>
      <c r="J128">
        <v>3</v>
      </c>
      <c r="K128">
        <v>3</v>
      </c>
      <c r="L128">
        <v>1</v>
      </c>
    </row>
    <row r="129" spans="1:12" x14ac:dyDescent="0.3">
      <c r="A129">
        <v>3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4</v>
      </c>
      <c r="H129">
        <v>5</v>
      </c>
      <c r="I129">
        <v>5</v>
      </c>
      <c r="J129">
        <v>2</v>
      </c>
      <c r="K129">
        <v>4</v>
      </c>
      <c r="L129">
        <v>1</v>
      </c>
    </row>
    <row r="130" spans="1:12" x14ac:dyDescent="0.3">
      <c r="A130">
        <v>4</v>
      </c>
      <c r="B130">
        <v>2</v>
      </c>
      <c r="C130">
        <v>1</v>
      </c>
      <c r="D130">
        <v>4</v>
      </c>
      <c r="E130">
        <v>1</v>
      </c>
      <c r="F130">
        <v>2</v>
      </c>
      <c r="G130">
        <v>2</v>
      </c>
      <c r="H130">
        <v>1</v>
      </c>
      <c r="I130">
        <v>1</v>
      </c>
      <c r="J130">
        <v>1</v>
      </c>
      <c r="K130">
        <v>2</v>
      </c>
      <c r="L130">
        <v>2</v>
      </c>
    </row>
    <row r="131" spans="1:12" x14ac:dyDescent="0.3">
      <c r="A131">
        <v>5</v>
      </c>
      <c r="B131">
        <v>2</v>
      </c>
      <c r="C131">
        <v>2</v>
      </c>
      <c r="D131">
        <v>2</v>
      </c>
      <c r="E131">
        <v>3</v>
      </c>
      <c r="F131">
        <v>2</v>
      </c>
      <c r="G131">
        <v>5</v>
      </c>
      <c r="H131">
        <v>5</v>
      </c>
      <c r="I131">
        <v>5</v>
      </c>
      <c r="J131">
        <v>3</v>
      </c>
      <c r="K131">
        <v>4</v>
      </c>
      <c r="L131">
        <v>3</v>
      </c>
    </row>
    <row r="132" spans="1:12" x14ac:dyDescent="0.3">
      <c r="A132">
        <v>4</v>
      </c>
      <c r="B132">
        <v>2</v>
      </c>
      <c r="C132">
        <v>3</v>
      </c>
      <c r="D132">
        <v>3</v>
      </c>
      <c r="E132">
        <v>2</v>
      </c>
      <c r="F132">
        <v>2</v>
      </c>
      <c r="G132">
        <v>3</v>
      </c>
      <c r="H132">
        <v>4</v>
      </c>
      <c r="I132">
        <v>5</v>
      </c>
      <c r="J132">
        <v>4</v>
      </c>
      <c r="K132">
        <v>5</v>
      </c>
      <c r="L132">
        <v>4</v>
      </c>
    </row>
    <row r="133" spans="1:12" x14ac:dyDescent="0.3">
      <c r="A133">
        <v>3</v>
      </c>
      <c r="B133">
        <v>2</v>
      </c>
      <c r="C133">
        <v>2</v>
      </c>
      <c r="D133">
        <v>2</v>
      </c>
      <c r="E133">
        <v>3</v>
      </c>
      <c r="F133">
        <v>2</v>
      </c>
      <c r="G133">
        <v>4</v>
      </c>
      <c r="H133">
        <v>4</v>
      </c>
      <c r="I133">
        <v>2</v>
      </c>
      <c r="J133">
        <v>2</v>
      </c>
      <c r="K133">
        <v>2</v>
      </c>
      <c r="L133">
        <v>2</v>
      </c>
    </row>
    <row r="134" spans="1:12" x14ac:dyDescent="0.3">
      <c r="A134">
        <v>2</v>
      </c>
      <c r="B134">
        <v>1</v>
      </c>
      <c r="C134">
        <v>1</v>
      </c>
      <c r="D134">
        <v>1</v>
      </c>
      <c r="E134">
        <v>1</v>
      </c>
      <c r="F134">
        <v>2</v>
      </c>
      <c r="G134">
        <v>3</v>
      </c>
      <c r="H134">
        <v>2</v>
      </c>
      <c r="I134">
        <v>4</v>
      </c>
      <c r="J134">
        <v>2</v>
      </c>
      <c r="K134">
        <v>4</v>
      </c>
      <c r="L134">
        <v>3</v>
      </c>
    </row>
    <row r="135" spans="1:12" x14ac:dyDescent="0.3">
      <c r="A135">
        <v>5</v>
      </c>
      <c r="B135">
        <v>2</v>
      </c>
      <c r="C135">
        <v>1</v>
      </c>
      <c r="D135">
        <v>2</v>
      </c>
      <c r="E135">
        <v>1</v>
      </c>
      <c r="F135">
        <v>1</v>
      </c>
      <c r="G135">
        <v>5</v>
      </c>
      <c r="H135">
        <v>4</v>
      </c>
      <c r="I135">
        <v>4</v>
      </c>
      <c r="J135">
        <v>5</v>
      </c>
      <c r="K135">
        <v>5</v>
      </c>
      <c r="L135">
        <v>1</v>
      </c>
    </row>
    <row r="136" spans="1:12" x14ac:dyDescent="0.3">
      <c r="A136">
        <v>4</v>
      </c>
      <c r="B136">
        <v>2</v>
      </c>
      <c r="C136">
        <v>3</v>
      </c>
      <c r="D136">
        <v>4</v>
      </c>
      <c r="E136">
        <v>3</v>
      </c>
      <c r="F136">
        <v>2</v>
      </c>
      <c r="G136">
        <v>3</v>
      </c>
      <c r="H136">
        <v>4</v>
      </c>
      <c r="I136">
        <v>4</v>
      </c>
      <c r="J136">
        <v>4</v>
      </c>
      <c r="K136">
        <v>4</v>
      </c>
      <c r="L136">
        <v>3</v>
      </c>
    </row>
    <row r="137" spans="1:12" x14ac:dyDescent="0.3">
      <c r="A137">
        <v>3</v>
      </c>
      <c r="B137">
        <v>2</v>
      </c>
      <c r="C137">
        <v>2</v>
      </c>
      <c r="D137">
        <v>3</v>
      </c>
      <c r="E137">
        <v>2</v>
      </c>
      <c r="F137">
        <v>2</v>
      </c>
      <c r="G137">
        <v>3</v>
      </c>
      <c r="H137">
        <v>2</v>
      </c>
      <c r="I137">
        <v>4</v>
      </c>
      <c r="J137">
        <v>2</v>
      </c>
      <c r="K137">
        <v>4</v>
      </c>
      <c r="L137">
        <v>2</v>
      </c>
    </row>
  </sheetData>
  <mergeCells count="18">
    <mergeCell ref="P1:U1"/>
    <mergeCell ref="Y1:AD1"/>
    <mergeCell ref="AH1:AM1"/>
    <mergeCell ref="P15:U15"/>
    <mergeCell ref="Y15:AD15"/>
    <mergeCell ref="AG15:AM15"/>
    <mergeCell ref="P57:U57"/>
    <mergeCell ref="P71:U71"/>
    <mergeCell ref="P29:U29"/>
    <mergeCell ref="Y29:AD29"/>
    <mergeCell ref="AG29:AM29"/>
    <mergeCell ref="P43:U43"/>
    <mergeCell ref="Y43:AD43"/>
    <mergeCell ref="AG43:AM43"/>
    <mergeCell ref="Y57:AC57"/>
    <mergeCell ref="Y71:AC71"/>
    <mergeCell ref="AH57:AM57"/>
    <mergeCell ref="AH71:AM71"/>
  </mergeCells>
  <hyperlinks>
    <hyperlink ref="AM17" r:id="rId1" display="=@sum(AH18:AL18)"/>
    <hyperlink ref="AM3" r:id="rId2" display="=@sum(AH3:AL3)"/>
    <hyperlink ref="AQ5" r:id="rId3" display="=@sum(AH3:AL8)"/>
    <hyperlink ref="U32:U37" r:id="rId4" display="=@sum(P3:U3"/>
    <hyperlink ref="AD17" r:id="rId5" display="=@sum(Y17:AD17)"/>
    <hyperlink ref="U17" r:id="rId6" display="=@sum(P3:U3"/>
    <hyperlink ref="U4:U8" r:id="rId7" display="=@sum(P3:U3"/>
    <hyperlink ref="U21:U23" r:id="rId8" display="=@sum(P3:U3"/>
    <hyperlink ref="U45" r:id="rId9" display="=@sum(P45:T45)"/>
    <hyperlink ref="U59" r:id="rId10" display="=@sum(P59:T59)"/>
    <hyperlink ref="U73" r:id="rId11" display="=@sum(P73:T73"/>
    <hyperlink ref="AM31" r:id="rId12" display="=@sum(AH18:AL18)"/>
    <hyperlink ref="AM32:AM37" r:id="rId13" display="=@sum(AH18:AL18)"/>
    <hyperlink ref="AD31" r:id="rId14" display="=@sum(Y17:AD17)"/>
    <hyperlink ref="AM45" r:id="rId15" display="=@sum(AH18:AL18)"/>
    <hyperlink ref="AD45" r:id="rId16" display="=@sum(Y17:AD17)"/>
    <hyperlink ref="AM59" r:id="rId17" display="=@sum(AH18:AL18)"/>
    <hyperlink ref="AD59" r:id="rId18" display="=@sum(Y17:AD17)"/>
    <hyperlink ref="AM73" r:id="rId19" display="=@sum(AH18:AL18)"/>
    <hyperlink ref="AD73" r:id="rId20" display="=@sum(Y17:AD17)"/>
    <hyperlink ref="AD4" r:id="rId21" display="=@SUM(Y4:AC4)"/>
    <hyperlink ref="AM4:AM5" r:id="rId22" display="=@sum(AH3:AL3)"/>
    <hyperlink ref="AD5" r:id="rId23" display="=@SUM(Y4:AC4)"/>
    <hyperlink ref="AD3" r:id="rId24" display="=@SUM(Y4:AC4)"/>
    <hyperlink ref="AH61" r:id="rId25" display="=@SUM(AH59:AH60)"/>
    <hyperlink ref="AM74" r:id="rId26" display="=@sum(AH18:AL18)"/>
    <hyperlink ref="P20" r:id="rId27" display="=@sum(P3:P5)"/>
    <hyperlink ref="Q20:U20" r:id="rId28" display="=@sum(P3:P5)"/>
    <hyperlink ref="Y6" r:id="rId29" display="=@sum(Y3:Y5)"/>
    <hyperlink ref="Z6:AD6" r:id="rId30" display="=@sum(Y3:Y5)"/>
    <hyperlink ref="AH6" r:id="rId31" display="=@sum(AH3:AH5)"/>
    <hyperlink ref="U18:U20" r:id="rId32" display="=@sum(P3:U3"/>
    <hyperlink ref="Y20" r:id="rId33" display="=@sum(Y17:Y19)"/>
    <hyperlink ref="Z20:AD20" r:id="rId34" display="=@sum(Y17:Y19)"/>
    <hyperlink ref="AH20" r:id="rId35" display="=@sum(AH17:AH19)"/>
    <hyperlink ref="AI20:AM20" r:id="rId36" display="=@sum(AH17:AH19)"/>
    <hyperlink ref="U31" r:id="rId37" display="=@sum(P3:U3"/>
    <hyperlink ref="P34" r:id="rId38" display="=@sum(P3:P5)"/>
    <hyperlink ref="Q34:U34" r:id="rId39" display="=@sum(P3:P5)"/>
    <hyperlink ref="U32:U34" r:id="rId40" display="=@sum(P3:U3"/>
    <hyperlink ref="Y34" r:id="rId41" display="=@sum(Y31:Y33)"/>
    <hyperlink ref="Z34:AD34" r:id="rId42" display="=@sum(Y31:Y33)"/>
    <hyperlink ref="AH34" r:id="rId43" display="=@sum(AH31:AH33)"/>
    <hyperlink ref="AI34:AM34" r:id="rId44" display="=@sum(AH31:AH33)"/>
    <hyperlink ref="P48" r:id="rId45" display="=@sum(P45:P47)"/>
    <hyperlink ref="Q48:U48" r:id="rId46" display="=@sum(P45:P47)"/>
    <hyperlink ref="Y48" r:id="rId47" display="-@SUM(Y45:Y47)"/>
    <hyperlink ref="Z48:AD48" r:id="rId48" display="-@SUM(Y45:Y47)"/>
    <hyperlink ref="AH48" r:id="rId49" display="=@SUM(AH45:AH47)"/>
    <hyperlink ref="AI48:AM48" r:id="rId50" display="=@SUM(AH45:AH47)"/>
    <hyperlink ref="P62" r:id="rId51" display="=@sum(P59:P61)"/>
    <hyperlink ref="Q62:U62" r:id="rId52" display="=@sum(P59:P61)"/>
    <hyperlink ref="Y62" r:id="rId53" display="=@SUM(Y59:Y61)"/>
    <hyperlink ref="Z62:AD62" r:id="rId54" display="=@SUM(Y59:Y61)"/>
    <hyperlink ref="AH62" r:id="rId55" display="=@SUM(AH59:AH61)"/>
    <hyperlink ref="AI62:AM62" r:id="rId56" display="=@SUM(AH59:AH61)"/>
    <hyperlink ref="P76" r:id="rId57" display="=@sum(P73:P75)"/>
    <hyperlink ref="Q76:U76" r:id="rId58" display="=@sum(P73:P75)"/>
    <hyperlink ref="Y76" r:id="rId59" display="=@sum(Y73:Y75)"/>
    <hyperlink ref="Z76:AC76" r:id="rId60" display="=@sum(Y73:Y75)"/>
    <hyperlink ref="AM75:AM76" r:id="rId61" display="=@sum(AH18:AL18)"/>
    <hyperlink ref="AH76" r:id="rId62" display="=@sum(AH73:AH75)"/>
    <hyperlink ref="AI76:AL76" r:id="rId63" display="=@sum(AH73:AH75)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7"/>
  <sheetViews>
    <sheetView topLeftCell="S1" workbookViewId="0">
      <selection activeCell="AH1" sqref="AH1:AM1"/>
    </sheetView>
  </sheetViews>
  <sheetFormatPr defaultRowHeight="14.4" x14ac:dyDescent="0.3"/>
  <sheetData>
    <row r="1" spans="1:44" x14ac:dyDescent="0.3">
      <c r="A1" s="63" t="s">
        <v>96</v>
      </c>
      <c r="B1" s="63" t="s">
        <v>4</v>
      </c>
      <c r="C1" s="63" t="s">
        <v>5</v>
      </c>
      <c r="D1" s="63" t="s">
        <v>6</v>
      </c>
      <c r="E1" s="63" t="s">
        <v>7</v>
      </c>
      <c r="F1" s="63" t="s">
        <v>134</v>
      </c>
      <c r="G1" s="63" t="s">
        <v>140</v>
      </c>
      <c r="H1" s="63" t="s">
        <v>141</v>
      </c>
      <c r="I1" s="63" t="s">
        <v>136</v>
      </c>
      <c r="J1" s="63" t="s">
        <v>137</v>
      </c>
      <c r="K1" s="63" t="s">
        <v>138</v>
      </c>
      <c r="L1" s="63" t="s">
        <v>139</v>
      </c>
      <c r="P1" s="106" t="s">
        <v>343</v>
      </c>
      <c r="Q1" s="106"/>
      <c r="R1" s="106"/>
      <c r="S1" s="106"/>
      <c r="T1" s="106"/>
      <c r="U1" s="106"/>
      <c r="Y1" s="106" t="s">
        <v>377</v>
      </c>
      <c r="Z1" s="106"/>
      <c r="AA1" s="106"/>
      <c r="AB1" s="106"/>
      <c r="AC1" s="106"/>
      <c r="AD1" s="106"/>
      <c r="AH1" s="106" t="s">
        <v>341</v>
      </c>
      <c r="AI1" s="106"/>
      <c r="AJ1" s="106"/>
      <c r="AK1" s="106"/>
      <c r="AL1" s="106"/>
      <c r="AM1" s="106"/>
    </row>
    <row r="2" spans="1:44" ht="15.6" x14ac:dyDescent="0.3">
      <c r="A2">
        <v>3</v>
      </c>
      <c r="B2">
        <v>2</v>
      </c>
      <c r="C2">
        <v>2</v>
      </c>
      <c r="D2">
        <v>2</v>
      </c>
      <c r="E2">
        <v>2</v>
      </c>
      <c r="F2">
        <v>3</v>
      </c>
      <c r="G2">
        <v>3</v>
      </c>
      <c r="H2">
        <v>5</v>
      </c>
      <c r="I2">
        <v>4</v>
      </c>
      <c r="J2">
        <v>3</v>
      </c>
      <c r="K2">
        <v>4</v>
      </c>
      <c r="L2">
        <v>2</v>
      </c>
      <c r="O2" s="11" t="s">
        <v>7</v>
      </c>
      <c r="P2" s="10">
        <v>1</v>
      </c>
      <c r="Q2" s="10">
        <v>2</v>
      </c>
      <c r="R2" s="10">
        <v>3</v>
      </c>
      <c r="S2" s="10">
        <v>4</v>
      </c>
      <c r="T2" s="10">
        <v>5</v>
      </c>
      <c r="U2" s="10"/>
      <c r="V2" s="44"/>
      <c r="X2" s="11" t="s">
        <v>7</v>
      </c>
      <c r="Y2" s="10">
        <v>1</v>
      </c>
      <c r="Z2" s="10">
        <v>2</v>
      </c>
      <c r="AA2" s="10">
        <v>3</v>
      </c>
      <c r="AB2" s="10">
        <v>4</v>
      </c>
      <c r="AC2" s="10">
        <v>5</v>
      </c>
      <c r="AD2" s="10"/>
      <c r="AE2" s="44"/>
      <c r="AG2" s="11" t="s">
        <v>7</v>
      </c>
      <c r="AH2" s="10">
        <v>1</v>
      </c>
      <c r="AI2" s="10">
        <v>2</v>
      </c>
      <c r="AJ2" s="10">
        <v>3</v>
      </c>
      <c r="AK2" s="10">
        <v>4</v>
      </c>
      <c r="AL2" s="10">
        <v>5</v>
      </c>
      <c r="AM2" s="10"/>
      <c r="AN2" s="44"/>
    </row>
    <row r="3" spans="1:44" ht="15.6" x14ac:dyDescent="0.3">
      <c r="A3">
        <v>5</v>
      </c>
      <c r="B3">
        <v>2</v>
      </c>
      <c r="C3">
        <v>3</v>
      </c>
      <c r="D3">
        <v>5</v>
      </c>
      <c r="E3">
        <v>4</v>
      </c>
      <c r="F3">
        <v>2</v>
      </c>
      <c r="G3">
        <v>3</v>
      </c>
      <c r="H3">
        <v>5</v>
      </c>
      <c r="I3">
        <v>4</v>
      </c>
      <c r="J3">
        <v>3</v>
      </c>
      <c r="K3">
        <v>4</v>
      </c>
      <c r="L3">
        <v>3</v>
      </c>
      <c r="O3" s="42">
        <v>1</v>
      </c>
      <c r="P3">
        <f>COUNTIFS($E$2:$E$137,"1",$G$2:$G$137,"1")</f>
        <v>1</v>
      </c>
      <c r="Q3">
        <f>COUNTIFS($E$2:$E$137,"1",$G$2:$G$137,"2")</f>
        <v>4</v>
      </c>
      <c r="R3">
        <f>COUNTIFS($E$2:$E$137,"1",$G$2:$G$137,"3")</f>
        <v>7</v>
      </c>
      <c r="S3">
        <f>COUNTIFS($E$2:$E$137,"1",$G$2:$G$137,"4")</f>
        <v>10</v>
      </c>
      <c r="T3">
        <f>COUNTIFS($E$2:$E$137,"1",$G$2:$G$137,"5")</f>
        <v>7</v>
      </c>
      <c r="U3" s="56">
        <f>SUM(P3:T3)</f>
        <v>29</v>
      </c>
      <c r="V3" s="43"/>
      <c r="X3" s="42">
        <v>1</v>
      </c>
      <c r="Y3">
        <f>($U3*P$7)/$U$7</f>
        <v>0.63970588235294112</v>
      </c>
      <c r="Z3">
        <f t="shared" ref="Z3:AC6" si="0">($U3*Q$7)/$U$7</f>
        <v>3.1985294117647061</v>
      </c>
      <c r="AA3">
        <f t="shared" si="0"/>
        <v>9.382352941176471</v>
      </c>
      <c r="AB3">
        <f t="shared" si="0"/>
        <v>10.448529411764707</v>
      </c>
      <c r="AC3">
        <f t="shared" si="0"/>
        <v>5.3308823529411766</v>
      </c>
      <c r="AD3" s="54">
        <f>SUM(Y3:AC3)</f>
        <v>29.000000000000004</v>
      </c>
      <c r="AE3" s="43"/>
      <c r="AG3" s="42">
        <v>1</v>
      </c>
      <c r="AH3" s="3">
        <f t="shared" ref="AH3:AL6" si="1">(P3-Y3)^2/Y3</f>
        <v>0.20292427315753894</v>
      </c>
      <c r="AI3" s="3">
        <f t="shared" si="1"/>
        <v>0.20082826233941842</v>
      </c>
      <c r="AJ3" s="3">
        <f t="shared" si="1"/>
        <v>0.60492347409183134</v>
      </c>
      <c r="AK3" s="3">
        <f t="shared" si="1"/>
        <v>1.9254253425508187E-2</v>
      </c>
      <c r="AL3" s="3">
        <f t="shared" si="1"/>
        <v>0.52260649087221089</v>
      </c>
      <c r="AM3" s="54">
        <f>SUM(AH3:AL3)</f>
        <v>1.550536753886508</v>
      </c>
      <c r="AN3" s="43"/>
      <c r="AP3" s="2" t="s">
        <v>204</v>
      </c>
      <c r="AQ3">
        <v>0.05</v>
      </c>
    </row>
    <row r="4" spans="1:44" ht="15.6" x14ac:dyDescent="0.3">
      <c r="A4">
        <v>3</v>
      </c>
      <c r="B4">
        <v>2</v>
      </c>
      <c r="C4">
        <v>2</v>
      </c>
      <c r="D4">
        <v>3</v>
      </c>
      <c r="E4">
        <v>2</v>
      </c>
      <c r="F4">
        <v>2</v>
      </c>
      <c r="G4">
        <v>2</v>
      </c>
      <c r="H4">
        <v>3</v>
      </c>
      <c r="I4">
        <v>4</v>
      </c>
      <c r="J4">
        <v>3</v>
      </c>
      <c r="K4">
        <v>4</v>
      </c>
      <c r="L4">
        <v>2</v>
      </c>
      <c r="O4" s="42">
        <v>2</v>
      </c>
      <c r="P4">
        <f>COUNTIFS($E$2:$E$137,"2",$G$2:$G$137,"1")</f>
        <v>0</v>
      </c>
      <c r="Q4">
        <f>COUNTIFS($E$2:$E$137,"2",$G$2:$G$137,"2")</f>
        <v>9</v>
      </c>
      <c r="R4">
        <f>COUNTIFS($E$2:$E$137,"2",$G$2:$G$137,"3")</f>
        <v>23</v>
      </c>
      <c r="S4">
        <f>COUNTIFS($E$2:$E$137,"2",$G$2:$G$137,"4")</f>
        <v>28</v>
      </c>
      <c r="T4">
        <f>COUNTIFS($E$2:$E$137,"2",$G$2:$G$137,"5")</f>
        <v>11</v>
      </c>
      <c r="U4" s="56">
        <f>SUM(P4:T4)</f>
        <v>71</v>
      </c>
      <c r="V4" s="43"/>
      <c r="X4" s="42">
        <v>2</v>
      </c>
      <c r="Y4">
        <f t="shared" ref="Y4:Y6" si="2">($U4*P$7)/$U$7</f>
        <v>1.5661764705882353</v>
      </c>
      <c r="Z4">
        <f t="shared" si="0"/>
        <v>7.8308823529411766</v>
      </c>
      <c r="AA4">
        <f t="shared" si="0"/>
        <v>22.970588235294116</v>
      </c>
      <c r="AB4">
        <f t="shared" si="0"/>
        <v>25.580882352941178</v>
      </c>
      <c r="AC4">
        <f t="shared" si="0"/>
        <v>13.051470588235293</v>
      </c>
      <c r="AD4" s="54">
        <f>SUM(Y4:AC4)</f>
        <v>71</v>
      </c>
      <c r="AE4" s="43"/>
      <c r="AG4" s="42">
        <v>2</v>
      </c>
      <c r="AH4" s="3">
        <f t="shared" si="1"/>
        <v>1.5661764705882353</v>
      </c>
      <c r="AI4" s="3">
        <f t="shared" si="1"/>
        <v>0.17454432477216233</v>
      </c>
      <c r="AJ4" s="3">
        <f t="shared" si="1"/>
        <v>3.7659109738650065E-5</v>
      </c>
      <c r="AK4" s="3">
        <f t="shared" si="1"/>
        <v>0.22876967688483824</v>
      </c>
      <c r="AL4" s="3">
        <f t="shared" si="1"/>
        <v>0.32245650372825163</v>
      </c>
      <c r="AM4" s="54">
        <f>SUM(AH4:AL4)</f>
        <v>2.2919846350832263</v>
      </c>
      <c r="AN4" s="43"/>
      <c r="AP4" s="2" t="s">
        <v>205</v>
      </c>
      <c r="AQ4">
        <f>3*4</f>
        <v>12</v>
      </c>
    </row>
    <row r="5" spans="1:44" ht="15.6" x14ac:dyDescent="0.3">
      <c r="A5">
        <v>5</v>
      </c>
      <c r="B5">
        <v>2</v>
      </c>
      <c r="C5">
        <v>3</v>
      </c>
      <c r="D5">
        <v>5</v>
      </c>
      <c r="E5">
        <v>4</v>
      </c>
      <c r="F5">
        <v>2</v>
      </c>
      <c r="G5">
        <v>3</v>
      </c>
      <c r="H5">
        <v>3</v>
      </c>
      <c r="I5">
        <v>5</v>
      </c>
      <c r="J5">
        <v>3</v>
      </c>
      <c r="K5">
        <v>3</v>
      </c>
      <c r="L5">
        <v>3</v>
      </c>
      <c r="O5" s="42">
        <v>3</v>
      </c>
      <c r="P5">
        <f>COUNTIFS($E$2:$E$137,"3",$G$2:$G$137,"1")</f>
        <v>1</v>
      </c>
      <c r="Q5">
        <f>COUNTIFS($E$2:$E$137,"3",$G$2:$G$137,"2")</f>
        <v>1</v>
      </c>
      <c r="R5">
        <f>COUNTIFS($E$2:$E$137,"3",$G$2:$G$137,"3")</f>
        <v>4</v>
      </c>
      <c r="S5">
        <f>COUNTIFS($E$2:$E$137,"3",$G$2:$G$137,"4")</f>
        <v>5</v>
      </c>
      <c r="T5">
        <f>COUNTIFS($E$2:$E$137,"3",$G$2:$G$137,"5")</f>
        <v>2</v>
      </c>
      <c r="U5" s="56">
        <f>SUM(P5:T5)</f>
        <v>13</v>
      </c>
      <c r="V5" s="43"/>
      <c r="X5" s="42">
        <v>3</v>
      </c>
      <c r="Y5">
        <f t="shared" si="2"/>
        <v>0.28676470588235292</v>
      </c>
      <c r="Z5">
        <f t="shared" si="0"/>
        <v>1.4338235294117647</v>
      </c>
      <c r="AA5">
        <f t="shared" si="0"/>
        <v>4.2058823529411766</v>
      </c>
      <c r="AB5">
        <f t="shared" si="0"/>
        <v>4.6838235294117645</v>
      </c>
      <c r="AC5">
        <f t="shared" si="0"/>
        <v>2.3897058823529411</v>
      </c>
      <c r="AD5" s="54">
        <f>SUM(Y5:AC5)</f>
        <v>13</v>
      </c>
      <c r="AE5" s="43"/>
      <c r="AG5" s="42">
        <v>3</v>
      </c>
      <c r="AH5" s="3">
        <f t="shared" si="1"/>
        <v>1.7739441930618403</v>
      </c>
      <c r="AI5" s="3">
        <f t="shared" si="1"/>
        <v>0.13125942684766215</v>
      </c>
      <c r="AJ5" s="3">
        <f t="shared" si="1"/>
        <v>1.0078157136980681E-2</v>
      </c>
      <c r="AK5" s="3">
        <f t="shared" si="1"/>
        <v>2.1343152645673682E-2</v>
      </c>
      <c r="AL5" s="3">
        <f t="shared" si="1"/>
        <v>6.3552036199094997E-2</v>
      </c>
      <c r="AM5" s="56">
        <f>SUM(AH5:AL5)</f>
        <v>2.0001769658912516</v>
      </c>
      <c r="AN5" s="43"/>
      <c r="AP5" s="2" t="s">
        <v>202</v>
      </c>
      <c r="AQ5" s="45">
        <f>SUM(AH3:AL6)</f>
        <v>8.9039712434630669</v>
      </c>
    </row>
    <row r="6" spans="1:44" ht="15.6" x14ac:dyDescent="0.3">
      <c r="A6">
        <v>5</v>
      </c>
      <c r="B6">
        <v>2</v>
      </c>
      <c r="C6">
        <v>3</v>
      </c>
      <c r="D6">
        <v>5</v>
      </c>
      <c r="E6">
        <v>4</v>
      </c>
      <c r="F6">
        <v>1</v>
      </c>
      <c r="G6">
        <v>3</v>
      </c>
      <c r="H6">
        <v>4</v>
      </c>
      <c r="I6">
        <v>3</v>
      </c>
      <c r="J6">
        <v>3</v>
      </c>
      <c r="K6">
        <v>3</v>
      </c>
      <c r="L6">
        <v>3</v>
      </c>
      <c r="O6" s="42">
        <v>4</v>
      </c>
      <c r="P6">
        <f>COUNTIFS($E$2:$E$137,"4",$G$2:$G$137,"1")</f>
        <v>1</v>
      </c>
      <c r="Q6">
        <f>COUNTIFS($E$2:$E$137,"4",$G$2:$G$137,"2")</f>
        <v>1</v>
      </c>
      <c r="R6">
        <f>COUNTIFS($E$2:$E$137,"4",$G$2:$G$137,"3")</f>
        <v>10</v>
      </c>
      <c r="S6">
        <f>COUNTIFS($E$2:$E$137,"4",$G$2:$G$137,"4")</f>
        <v>6</v>
      </c>
      <c r="T6">
        <f>COUNTIFS($E$2:$E$137,"4",$G$2:$G$137,"5")</f>
        <v>5</v>
      </c>
      <c r="U6" s="56">
        <f>SUM(P6:T6)</f>
        <v>23</v>
      </c>
      <c r="V6" s="43"/>
      <c r="X6" s="61">
        <v>4</v>
      </c>
      <c r="Y6">
        <f t="shared" si="2"/>
        <v>0.50735294117647056</v>
      </c>
      <c r="Z6">
        <f t="shared" si="0"/>
        <v>2.5367647058823528</v>
      </c>
      <c r="AA6">
        <f t="shared" si="0"/>
        <v>7.4411764705882355</v>
      </c>
      <c r="AB6">
        <f t="shared" si="0"/>
        <v>8.2867647058823533</v>
      </c>
      <c r="AC6">
        <f t="shared" si="0"/>
        <v>4.2279411764705879</v>
      </c>
      <c r="AD6" s="54">
        <f>SUM(Y6:AC6)</f>
        <v>23</v>
      </c>
      <c r="AE6" s="43"/>
      <c r="AG6" s="61">
        <v>4</v>
      </c>
      <c r="AH6" s="3">
        <f t="shared" si="1"/>
        <v>0.4783674339300939</v>
      </c>
      <c r="AI6" s="3">
        <f t="shared" si="1"/>
        <v>0.93096760443307747</v>
      </c>
      <c r="AJ6" s="3">
        <f t="shared" si="1"/>
        <v>0.87991164845384773</v>
      </c>
      <c r="AK6" s="3">
        <f t="shared" si="1"/>
        <v>0.63104154705360416</v>
      </c>
      <c r="AL6" s="3">
        <f t="shared" si="1"/>
        <v>0.14098465473145794</v>
      </c>
      <c r="AM6" s="56">
        <f>SUM(AH6:AL6)</f>
        <v>3.0612728886020815</v>
      </c>
      <c r="AN6" s="43"/>
      <c r="AP6" s="2" t="s">
        <v>203</v>
      </c>
      <c r="AQ6" s="50">
        <v>21.03</v>
      </c>
    </row>
    <row r="7" spans="1:44" ht="15.6" x14ac:dyDescent="0.3">
      <c r="A7">
        <v>3</v>
      </c>
      <c r="B7">
        <v>2</v>
      </c>
      <c r="C7">
        <v>2</v>
      </c>
      <c r="D7">
        <v>2</v>
      </c>
      <c r="E7">
        <v>2</v>
      </c>
      <c r="F7">
        <v>2</v>
      </c>
      <c r="G7">
        <v>3</v>
      </c>
      <c r="H7">
        <v>4</v>
      </c>
      <c r="I7">
        <v>5</v>
      </c>
      <c r="J7">
        <v>5</v>
      </c>
      <c r="K7">
        <v>2</v>
      </c>
      <c r="L7">
        <v>3</v>
      </c>
      <c r="O7" s="42"/>
      <c r="P7" s="51">
        <f>SUM(P3:P6)</f>
        <v>3</v>
      </c>
      <c r="Q7" s="51">
        <f>SUM(Q3:Q6)</f>
        <v>15</v>
      </c>
      <c r="R7" s="51">
        <f>SUM(R3:R6)</f>
        <v>44</v>
      </c>
      <c r="S7" s="51">
        <f>SUM(S3:S6)</f>
        <v>49</v>
      </c>
      <c r="T7" s="51">
        <f>SUM(T3:T6)</f>
        <v>25</v>
      </c>
      <c r="U7" s="45">
        <f t="shared" ref="U7" si="3">SUM(U3:U6)</f>
        <v>136</v>
      </c>
      <c r="V7" s="43"/>
      <c r="X7" s="61"/>
      <c r="Y7" s="54">
        <f>SUM(Y3:Y6)</f>
        <v>3</v>
      </c>
      <c r="Z7" s="54">
        <f t="shared" ref="Z7:AD7" si="4">SUM(Z3:Z6)</f>
        <v>15</v>
      </c>
      <c r="AA7" s="54">
        <f t="shared" si="4"/>
        <v>44</v>
      </c>
      <c r="AB7" s="54">
        <f t="shared" si="4"/>
        <v>49.000000000000007</v>
      </c>
      <c r="AC7" s="54">
        <f t="shared" si="4"/>
        <v>25</v>
      </c>
      <c r="AD7" s="45">
        <f t="shared" si="4"/>
        <v>136</v>
      </c>
      <c r="AE7" s="43"/>
      <c r="AG7" s="61"/>
      <c r="AH7" s="54">
        <f>SUM(AH3:AH6)</f>
        <v>4.0214123707377087</v>
      </c>
      <c r="AI7" s="54">
        <f t="shared" ref="AI7:AL7" si="5">SUM(AI3:AI6)</f>
        <v>1.4375996183923203</v>
      </c>
      <c r="AJ7" s="54">
        <f t="shared" si="5"/>
        <v>1.4949509387923983</v>
      </c>
      <c r="AK7" s="54">
        <f t="shared" si="5"/>
        <v>0.90040863000962423</v>
      </c>
      <c r="AL7" s="54">
        <f t="shared" si="5"/>
        <v>1.0495996855310155</v>
      </c>
      <c r="AM7" s="45">
        <f>SUM(AM3:AM6)</f>
        <v>8.9039712434630669</v>
      </c>
      <c r="AN7" s="43"/>
      <c r="AP7" s="2" t="s">
        <v>206</v>
      </c>
      <c r="AQ7">
        <f>_xlfn.CHISQ.DIST.RT(AQ5,AQ4)</f>
        <v>0.7111099610413596</v>
      </c>
      <c r="AR7" t="s">
        <v>220</v>
      </c>
    </row>
    <row r="8" spans="1:44" ht="15.6" x14ac:dyDescent="0.3">
      <c r="A8">
        <v>5</v>
      </c>
      <c r="B8">
        <v>2</v>
      </c>
      <c r="C8">
        <v>2</v>
      </c>
      <c r="D8">
        <v>5</v>
      </c>
      <c r="E8">
        <v>2</v>
      </c>
      <c r="F8">
        <v>2</v>
      </c>
      <c r="G8">
        <v>4</v>
      </c>
      <c r="H8">
        <v>4</v>
      </c>
      <c r="I8">
        <v>5</v>
      </c>
      <c r="J8">
        <v>4</v>
      </c>
      <c r="K8">
        <v>4</v>
      </c>
      <c r="L8">
        <v>5</v>
      </c>
      <c r="O8" s="42"/>
      <c r="U8" s="43"/>
      <c r="V8" s="43"/>
      <c r="X8" s="61"/>
      <c r="AD8" s="43"/>
      <c r="AE8" s="43"/>
      <c r="AG8" s="61"/>
      <c r="AM8" s="45"/>
      <c r="AN8" s="43"/>
      <c r="AP8" t="s">
        <v>208</v>
      </c>
    </row>
    <row r="9" spans="1:44" ht="18" x14ac:dyDescent="0.35">
      <c r="A9">
        <v>6</v>
      </c>
      <c r="B9">
        <v>2</v>
      </c>
      <c r="C9">
        <v>2</v>
      </c>
      <c r="D9">
        <v>5</v>
      </c>
      <c r="E9">
        <v>3</v>
      </c>
      <c r="F9">
        <v>2</v>
      </c>
      <c r="G9">
        <v>4</v>
      </c>
      <c r="H9">
        <v>4</v>
      </c>
      <c r="I9">
        <v>5</v>
      </c>
      <c r="J9">
        <v>3</v>
      </c>
      <c r="K9">
        <v>4</v>
      </c>
      <c r="L9">
        <v>3</v>
      </c>
      <c r="V9" s="46"/>
      <c r="Y9" s="43"/>
      <c r="Z9" s="43"/>
      <c r="AA9" s="43"/>
      <c r="AB9" s="43"/>
      <c r="AC9" s="43"/>
      <c r="AD9" s="43"/>
      <c r="AE9" s="46"/>
      <c r="AH9" s="43"/>
      <c r="AI9" s="43"/>
      <c r="AJ9" s="43"/>
      <c r="AK9" s="43"/>
      <c r="AL9" s="43"/>
      <c r="AM9" s="45"/>
      <c r="AN9" s="46"/>
      <c r="AP9" s="2" t="s">
        <v>336</v>
      </c>
      <c r="AQ9">
        <f>MIN(4,5)-1</f>
        <v>3</v>
      </c>
    </row>
    <row r="10" spans="1:44" x14ac:dyDescent="0.3">
      <c r="A10">
        <v>6</v>
      </c>
      <c r="B10">
        <v>2</v>
      </c>
      <c r="C10">
        <v>1</v>
      </c>
      <c r="D10">
        <v>5</v>
      </c>
      <c r="E10">
        <v>2</v>
      </c>
      <c r="F10">
        <v>1</v>
      </c>
      <c r="G10">
        <v>4</v>
      </c>
      <c r="H10">
        <v>3</v>
      </c>
      <c r="I10">
        <v>4</v>
      </c>
      <c r="J10">
        <v>2</v>
      </c>
      <c r="K10">
        <v>4</v>
      </c>
      <c r="L10">
        <v>3</v>
      </c>
      <c r="AP10" s="2" t="s">
        <v>309</v>
      </c>
      <c r="AQ10">
        <v>136</v>
      </c>
    </row>
    <row r="11" spans="1:44" ht="15.6" x14ac:dyDescent="0.3">
      <c r="A11">
        <v>5</v>
      </c>
      <c r="B11">
        <v>2</v>
      </c>
      <c r="C11">
        <v>2</v>
      </c>
      <c r="D11">
        <v>5</v>
      </c>
      <c r="E11">
        <v>4</v>
      </c>
      <c r="F11">
        <v>2</v>
      </c>
      <c r="G11">
        <v>3</v>
      </c>
      <c r="H11">
        <v>4</v>
      </c>
      <c r="I11">
        <v>4</v>
      </c>
      <c r="J11">
        <v>3</v>
      </c>
      <c r="K11">
        <v>4</v>
      </c>
      <c r="L11">
        <v>4</v>
      </c>
      <c r="AP11" s="2" t="s">
        <v>299</v>
      </c>
      <c r="AQ11" s="50">
        <f>SQRT(AQ5/($AQ$9*$AQ$10))</f>
        <v>0.14772765120334289</v>
      </c>
      <c r="AR11" t="s">
        <v>337</v>
      </c>
    </row>
    <row r="12" spans="1:44" x14ac:dyDescent="0.3">
      <c r="A12">
        <v>3</v>
      </c>
      <c r="B12">
        <v>2</v>
      </c>
      <c r="C12">
        <v>2</v>
      </c>
      <c r="D12">
        <v>3</v>
      </c>
      <c r="E12">
        <v>2</v>
      </c>
      <c r="F12">
        <v>2</v>
      </c>
      <c r="G12">
        <v>4</v>
      </c>
      <c r="H12">
        <v>5</v>
      </c>
      <c r="I12">
        <v>4</v>
      </c>
      <c r="J12">
        <v>4</v>
      </c>
      <c r="K12">
        <v>4</v>
      </c>
      <c r="L12">
        <v>5</v>
      </c>
    </row>
    <row r="13" spans="1:44" x14ac:dyDescent="0.3">
      <c r="A13">
        <v>4</v>
      </c>
      <c r="B13">
        <v>2</v>
      </c>
      <c r="C13">
        <v>1</v>
      </c>
      <c r="D13">
        <v>2</v>
      </c>
      <c r="E13">
        <v>1</v>
      </c>
      <c r="F13">
        <v>3</v>
      </c>
      <c r="G13">
        <v>5</v>
      </c>
      <c r="H13">
        <v>5</v>
      </c>
      <c r="I13">
        <v>5</v>
      </c>
      <c r="J13">
        <v>3</v>
      </c>
      <c r="K13">
        <v>5</v>
      </c>
      <c r="L13">
        <v>2</v>
      </c>
    </row>
    <row r="14" spans="1:44" x14ac:dyDescent="0.3">
      <c r="A14">
        <v>4</v>
      </c>
      <c r="B14">
        <v>2</v>
      </c>
      <c r="C14">
        <v>2</v>
      </c>
      <c r="D14">
        <v>2</v>
      </c>
      <c r="E14">
        <v>3</v>
      </c>
      <c r="F14">
        <v>2</v>
      </c>
      <c r="G14">
        <v>5</v>
      </c>
      <c r="H14">
        <v>5</v>
      </c>
      <c r="I14">
        <v>4</v>
      </c>
      <c r="J14">
        <v>4</v>
      </c>
      <c r="K14">
        <v>3</v>
      </c>
      <c r="L14">
        <v>3</v>
      </c>
    </row>
    <row r="15" spans="1:44" x14ac:dyDescent="0.3">
      <c r="A15">
        <v>4</v>
      </c>
      <c r="B15">
        <v>2</v>
      </c>
      <c r="C15">
        <v>1</v>
      </c>
      <c r="D15">
        <v>1</v>
      </c>
      <c r="E15">
        <v>1</v>
      </c>
      <c r="F15">
        <v>2</v>
      </c>
      <c r="G15">
        <v>3</v>
      </c>
      <c r="H15">
        <v>2</v>
      </c>
      <c r="I15">
        <v>4</v>
      </c>
      <c r="J15">
        <v>2</v>
      </c>
      <c r="K15">
        <v>3</v>
      </c>
      <c r="L15">
        <v>2</v>
      </c>
      <c r="P15" s="106" t="s">
        <v>359</v>
      </c>
      <c r="Q15" s="106"/>
      <c r="R15" s="106"/>
      <c r="S15" s="106"/>
      <c r="T15" s="106"/>
      <c r="U15" s="106"/>
      <c r="Y15" s="106" t="s">
        <v>361</v>
      </c>
      <c r="Z15" s="106"/>
      <c r="AA15" s="106"/>
      <c r="AB15" s="106"/>
      <c r="AC15" s="106"/>
      <c r="AD15" s="106"/>
      <c r="AG15" s="106" t="s">
        <v>353</v>
      </c>
      <c r="AH15" s="106"/>
      <c r="AI15" s="106"/>
      <c r="AJ15" s="106"/>
      <c r="AK15" s="106"/>
      <c r="AL15" s="106"/>
      <c r="AM15" s="106"/>
      <c r="AP15" s="2" t="s">
        <v>204</v>
      </c>
      <c r="AQ15">
        <v>0.05</v>
      </c>
    </row>
    <row r="16" spans="1:44" ht="15.6" x14ac:dyDescent="0.3">
      <c r="A16">
        <v>5</v>
      </c>
      <c r="B16">
        <v>2</v>
      </c>
      <c r="C16">
        <v>1</v>
      </c>
      <c r="D16">
        <v>5</v>
      </c>
      <c r="E16">
        <v>1</v>
      </c>
      <c r="F16">
        <v>2</v>
      </c>
      <c r="G16">
        <v>3</v>
      </c>
      <c r="H16">
        <v>5</v>
      </c>
      <c r="I16">
        <v>4</v>
      </c>
      <c r="J16">
        <v>3</v>
      </c>
      <c r="K16">
        <v>4</v>
      </c>
      <c r="L16">
        <v>2</v>
      </c>
      <c r="O16" s="11" t="s">
        <v>7</v>
      </c>
      <c r="P16" s="10">
        <v>1</v>
      </c>
      <c r="Q16" s="10">
        <v>2</v>
      </c>
      <c r="R16" s="10">
        <v>3</v>
      </c>
      <c r="S16" s="10">
        <v>4</v>
      </c>
      <c r="T16" s="10">
        <v>5</v>
      </c>
      <c r="U16" s="10"/>
      <c r="V16" s="44"/>
      <c r="X16" s="11" t="s">
        <v>7</v>
      </c>
      <c r="Y16" s="10">
        <v>1</v>
      </c>
      <c r="Z16" s="10">
        <v>2</v>
      </c>
      <c r="AA16" s="10">
        <v>3</v>
      </c>
      <c r="AB16" s="10">
        <v>4</v>
      </c>
      <c r="AC16" s="10">
        <v>5</v>
      </c>
      <c r="AD16" s="10"/>
      <c r="AE16" s="52"/>
      <c r="AG16" s="11" t="s">
        <v>7</v>
      </c>
      <c r="AH16" s="10">
        <v>1</v>
      </c>
      <c r="AI16" s="10">
        <v>2</v>
      </c>
      <c r="AJ16" s="10">
        <v>3</v>
      </c>
      <c r="AK16" s="10">
        <v>4</v>
      </c>
      <c r="AL16" s="10">
        <v>5</v>
      </c>
      <c r="AM16" s="10"/>
      <c r="AP16" s="2" t="s">
        <v>205</v>
      </c>
      <c r="AQ16">
        <f>4*3</f>
        <v>12</v>
      </c>
    </row>
    <row r="17" spans="1:44" ht="15.6" x14ac:dyDescent="0.3">
      <c r="A17">
        <v>3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  <c r="I17">
        <v>4</v>
      </c>
      <c r="J17">
        <v>2</v>
      </c>
      <c r="K17">
        <v>2</v>
      </c>
      <c r="L17">
        <v>2</v>
      </c>
      <c r="O17" s="42">
        <v>1</v>
      </c>
      <c r="P17">
        <f>COUNTIFS($E$2:$E$137,"1",$H$2:$H$137,"1")</f>
        <v>1</v>
      </c>
      <c r="Q17">
        <f>COUNTIFS($E$2:$E$137,"1",$H$2:$H$137,"2")</f>
        <v>3</v>
      </c>
      <c r="R17">
        <f>COUNTIFS($E$2:$E$137,"1",$H$2:$H$137,"3")</f>
        <v>1</v>
      </c>
      <c r="S17">
        <f>COUNTIFS($E$2:$E$137,"1",$H$2:$H$137,"4")</f>
        <v>8</v>
      </c>
      <c r="T17">
        <f>COUNTIFS($E$2:$E$137,"1",$H$2:$H$137,"5")</f>
        <v>16</v>
      </c>
      <c r="U17" s="56">
        <f>SUM(P17:T17)</f>
        <v>29</v>
      </c>
      <c r="V17" s="43"/>
      <c r="X17" s="42">
        <v>1</v>
      </c>
      <c r="Y17">
        <f>$U17*P$21/$U$21</f>
        <v>0.21323529411764705</v>
      </c>
      <c r="Z17">
        <f t="shared" ref="Z17:AC20" si="6">$U17*Q$21/$U$21</f>
        <v>1.7058823529411764</v>
      </c>
      <c r="AA17">
        <f t="shared" si="6"/>
        <v>2.7720588235294117</v>
      </c>
      <c r="AB17">
        <f t="shared" si="6"/>
        <v>12.367647058823529</v>
      </c>
      <c r="AC17">
        <f t="shared" si="6"/>
        <v>11.941176470588236</v>
      </c>
      <c r="AD17" s="58">
        <f>SUM(Y17:AC17)</f>
        <v>29</v>
      </c>
      <c r="AE17" s="43"/>
      <c r="AG17" s="42">
        <v>1</v>
      </c>
      <c r="AH17" s="3">
        <f t="shared" ref="AH17:AL19" si="7">(P17-Y17)^2/Y17</f>
        <v>2.9028904665314399</v>
      </c>
      <c r="AI17" s="3">
        <f t="shared" si="7"/>
        <v>0.98174442190669386</v>
      </c>
      <c r="AJ17" s="3">
        <f t="shared" si="7"/>
        <v>1.1328015290997036</v>
      </c>
      <c r="AK17" s="3">
        <f t="shared" si="7"/>
        <v>1.542438973211163</v>
      </c>
      <c r="AL17" s="3">
        <f t="shared" si="7"/>
        <v>1.3796001159084321</v>
      </c>
      <c r="AM17" s="51">
        <f>SUM(AH17:AL17)</f>
        <v>7.9394755066574323</v>
      </c>
      <c r="AN17" s="44"/>
      <c r="AP17" s="2" t="s">
        <v>202</v>
      </c>
      <c r="AQ17" s="57">
        <f>SUM(AH17:AL20)</f>
        <v>17.811529776333042</v>
      </c>
    </row>
    <row r="18" spans="1:44" ht="15.6" x14ac:dyDescent="0.3">
      <c r="A18">
        <v>5</v>
      </c>
      <c r="B18">
        <v>2</v>
      </c>
      <c r="C18">
        <v>2</v>
      </c>
      <c r="D18">
        <v>4</v>
      </c>
      <c r="E18">
        <v>2</v>
      </c>
      <c r="F18">
        <v>1</v>
      </c>
      <c r="G18">
        <v>5</v>
      </c>
      <c r="H18">
        <v>3</v>
      </c>
      <c r="I18">
        <v>4</v>
      </c>
      <c r="J18">
        <v>3</v>
      </c>
      <c r="K18">
        <v>2</v>
      </c>
      <c r="L18">
        <v>1</v>
      </c>
      <c r="O18" s="42">
        <v>2</v>
      </c>
      <c r="P18">
        <f>COUNTIFS($E$2:$E$137,"2",$H$2:$H$137,"1")</f>
        <v>0</v>
      </c>
      <c r="Q18">
        <f>COUNTIFS($E$2:$E$137,"2",$H$2:$H$137,"2")</f>
        <v>4</v>
      </c>
      <c r="R18">
        <f>COUNTIFS($E$2:$E$137,"2",$H$2:$H$137,"3")</f>
        <v>10</v>
      </c>
      <c r="S18">
        <f>COUNTIFS($E$2:$E$137,"2",$H$2:$H$137,"4")</f>
        <v>27</v>
      </c>
      <c r="T18">
        <f>COUNTIFS($E$2:$E$137,"2",$H$2:$H$137,"5")</f>
        <v>30</v>
      </c>
      <c r="U18" s="56">
        <f>SUM(P18:T18)</f>
        <v>71</v>
      </c>
      <c r="V18" s="43"/>
      <c r="X18" s="42">
        <v>2</v>
      </c>
      <c r="Y18">
        <f t="shared" ref="Y18:Y20" si="8">$U18*P$21/$U$21</f>
        <v>0.5220588235294118</v>
      </c>
      <c r="Z18">
        <f t="shared" si="6"/>
        <v>4.1764705882352944</v>
      </c>
      <c r="AA18">
        <f t="shared" si="6"/>
        <v>6.7867647058823533</v>
      </c>
      <c r="AB18">
        <f t="shared" si="6"/>
        <v>30.279411764705884</v>
      </c>
      <c r="AC18">
        <f t="shared" si="6"/>
        <v>29.235294117647058</v>
      </c>
      <c r="AD18" s="58">
        <f>SUM(Y18:AC18)</f>
        <v>71</v>
      </c>
      <c r="AE18" s="43"/>
      <c r="AG18" s="42">
        <v>2</v>
      </c>
      <c r="AH18" s="3">
        <f t="shared" si="7"/>
        <v>0.5220588235294118</v>
      </c>
      <c r="AI18" s="3">
        <f t="shared" si="7"/>
        <v>7.4565037282518856E-3</v>
      </c>
      <c r="AJ18" s="3">
        <f t="shared" si="7"/>
        <v>1.5213259193168056</v>
      </c>
      <c r="AK18" s="3">
        <f t="shared" si="7"/>
        <v>0.35517669914007405</v>
      </c>
      <c r="AL18" s="3">
        <f t="shared" si="7"/>
        <v>2.0002367144040759E-2</v>
      </c>
      <c r="AM18" s="58">
        <f>SUM(AH18:AL18)</f>
        <v>2.4260203128585842</v>
      </c>
      <c r="AN18" s="43"/>
      <c r="AP18" s="2" t="s">
        <v>203</v>
      </c>
      <c r="AQ18" s="50">
        <v>21.03</v>
      </c>
    </row>
    <row r="19" spans="1:44" ht="15.6" x14ac:dyDescent="0.3">
      <c r="A19">
        <v>4</v>
      </c>
      <c r="B19">
        <v>2</v>
      </c>
      <c r="C19">
        <v>3</v>
      </c>
      <c r="D19">
        <v>3</v>
      </c>
      <c r="E19">
        <v>4</v>
      </c>
      <c r="F19">
        <v>2</v>
      </c>
      <c r="G19">
        <v>3</v>
      </c>
      <c r="H19">
        <v>4</v>
      </c>
      <c r="I19">
        <v>5</v>
      </c>
      <c r="J19">
        <v>4</v>
      </c>
      <c r="K19">
        <v>5</v>
      </c>
      <c r="L19">
        <v>4</v>
      </c>
      <c r="O19" s="42">
        <v>3</v>
      </c>
      <c r="P19">
        <f>COUNTIFS($E$2:$E$137,"3",$H$2:$H$137,"1")</f>
        <v>0</v>
      </c>
      <c r="Q19">
        <f>COUNTIFS($E$2:$E$137,"3",$H$2:$H$137,"2")</f>
        <v>0</v>
      </c>
      <c r="R19">
        <f>COUNTIFS($E$2:$E$137,"3",$H$2:$H$137,"3")</f>
        <v>1</v>
      </c>
      <c r="S19">
        <f>COUNTIFS($E$2:$E$137,"3",$H$2:$H$137,"4")</f>
        <v>9</v>
      </c>
      <c r="T19">
        <f>COUNTIFS($E$2:$E$137,"3",$H$2:$H$137,"5")</f>
        <v>3</v>
      </c>
      <c r="U19" s="56">
        <f>SUM(P19:T19)</f>
        <v>13</v>
      </c>
      <c r="V19" s="43"/>
      <c r="X19" s="42">
        <v>3</v>
      </c>
      <c r="Y19">
        <f t="shared" si="8"/>
        <v>9.5588235294117641E-2</v>
      </c>
      <c r="Z19">
        <f t="shared" si="6"/>
        <v>0.76470588235294112</v>
      </c>
      <c r="AA19">
        <f t="shared" si="6"/>
        <v>1.2426470588235294</v>
      </c>
      <c r="AB19">
        <f t="shared" si="6"/>
        <v>5.5441176470588234</v>
      </c>
      <c r="AC19">
        <f t="shared" si="6"/>
        <v>5.3529411764705879</v>
      </c>
      <c r="AD19" s="58">
        <f>SUM(Y19:AC19)</f>
        <v>13</v>
      </c>
      <c r="AE19" s="43"/>
      <c r="AG19" s="42">
        <v>3</v>
      </c>
      <c r="AH19" s="3">
        <f t="shared" si="7"/>
        <v>9.5588235294117654E-2</v>
      </c>
      <c r="AI19" s="3">
        <f t="shared" si="7"/>
        <v>0.76470588235294124</v>
      </c>
      <c r="AJ19" s="3">
        <f t="shared" si="7"/>
        <v>4.7380786634180307E-2</v>
      </c>
      <c r="AK19" s="3">
        <f t="shared" si="7"/>
        <v>2.154197222655641</v>
      </c>
      <c r="AL19" s="3">
        <f t="shared" si="7"/>
        <v>1.0342598577892694</v>
      </c>
      <c r="AM19" s="58">
        <f>SUM(AH19:AL19)</f>
        <v>4.0961319847261493</v>
      </c>
      <c r="AN19" s="43"/>
      <c r="AP19" s="2" t="s">
        <v>206</v>
      </c>
      <c r="AQ19">
        <f>_xlfn.CHISQ.DIST.RT(AQ17,AQ16)</f>
        <v>0.12153411130844767</v>
      </c>
      <c r="AR19" t="s">
        <v>220</v>
      </c>
    </row>
    <row r="20" spans="1:44" ht="15.6" x14ac:dyDescent="0.3">
      <c r="A20">
        <v>5</v>
      </c>
      <c r="B20">
        <v>2</v>
      </c>
      <c r="C20">
        <v>3</v>
      </c>
      <c r="D20">
        <v>5</v>
      </c>
      <c r="E20">
        <v>4</v>
      </c>
      <c r="F20">
        <v>2</v>
      </c>
      <c r="G20">
        <v>4</v>
      </c>
      <c r="H20">
        <v>5</v>
      </c>
      <c r="I20">
        <v>4</v>
      </c>
      <c r="J20">
        <v>2</v>
      </c>
      <c r="K20">
        <v>4</v>
      </c>
      <c r="L20">
        <v>2</v>
      </c>
      <c r="O20" s="42">
        <v>4</v>
      </c>
      <c r="P20">
        <f>COUNTIFS($E$2:$E$137,"4",$H$2:$H$137,"1")</f>
        <v>0</v>
      </c>
      <c r="Q20">
        <f>COUNTIFS($E$2:$E$137,"4",$H$2:$H$137,"2")</f>
        <v>1</v>
      </c>
      <c r="R20">
        <f>COUNTIFS($E$2:$E$137,"4",$H$2:$H$137,"3")</f>
        <v>1</v>
      </c>
      <c r="S20">
        <f>COUNTIFS($E$2:$E$137,"4",$H$2:$H$137,"4")</f>
        <v>14</v>
      </c>
      <c r="T20">
        <f>COUNTIFS($E$2:$E$137,"4",$H$2:$H$137,"5")</f>
        <v>7</v>
      </c>
      <c r="U20" s="58">
        <f>SUM(P20:T20)</f>
        <v>23</v>
      </c>
      <c r="V20" s="43"/>
      <c r="X20" s="61">
        <v>4</v>
      </c>
      <c r="Y20">
        <f t="shared" si="8"/>
        <v>0.16911764705882354</v>
      </c>
      <c r="Z20">
        <f t="shared" si="6"/>
        <v>1.3529411764705883</v>
      </c>
      <c r="AA20">
        <f t="shared" si="6"/>
        <v>2.1985294117647061</v>
      </c>
      <c r="AB20">
        <f t="shared" si="6"/>
        <v>9.8088235294117645</v>
      </c>
      <c r="AC20">
        <f t="shared" si="6"/>
        <v>9.4705882352941178</v>
      </c>
      <c r="AD20" s="58">
        <f>SUM(Y20:AC20)</f>
        <v>23</v>
      </c>
      <c r="AE20" s="43"/>
      <c r="AG20" s="61">
        <v>4</v>
      </c>
      <c r="AH20" s="3">
        <f>(P20-Y20)^2/Y20</f>
        <v>0.16911764705882354</v>
      </c>
      <c r="AI20" s="3">
        <f t="shared" ref="AI20:AL20" si="9">(Q20-Z20)^2/Z20</f>
        <v>9.2071611253196961E-2</v>
      </c>
      <c r="AJ20" s="3">
        <f t="shared" si="9"/>
        <v>0.65337891009246518</v>
      </c>
      <c r="AK20" s="3">
        <f t="shared" si="9"/>
        <v>1.7908325249140138</v>
      </c>
      <c r="AL20" s="3">
        <f t="shared" si="9"/>
        <v>0.64450127877237851</v>
      </c>
      <c r="AM20" s="58">
        <f>SUM(AH20:AL20)</f>
        <v>3.349901972090878</v>
      </c>
      <c r="AN20" s="43"/>
      <c r="AP20" t="s">
        <v>210</v>
      </c>
    </row>
    <row r="21" spans="1:44" ht="18" x14ac:dyDescent="0.35">
      <c r="A21">
        <v>5</v>
      </c>
      <c r="B21">
        <v>2</v>
      </c>
      <c r="C21">
        <v>1</v>
      </c>
      <c r="D21">
        <v>5</v>
      </c>
      <c r="E21">
        <v>1</v>
      </c>
      <c r="F21">
        <v>2</v>
      </c>
      <c r="G21">
        <v>4</v>
      </c>
      <c r="H21">
        <v>4</v>
      </c>
      <c r="I21">
        <v>5</v>
      </c>
      <c r="J21">
        <v>4</v>
      </c>
      <c r="K21">
        <v>5</v>
      </c>
      <c r="L21">
        <v>3</v>
      </c>
      <c r="O21" s="42"/>
      <c r="P21" s="51">
        <f>SUM(P17:P20)</f>
        <v>1</v>
      </c>
      <c r="Q21" s="51">
        <f t="shared" ref="Q21:U21" si="10">SUM(Q17:Q20)</f>
        <v>8</v>
      </c>
      <c r="R21" s="51">
        <f t="shared" si="10"/>
        <v>13</v>
      </c>
      <c r="S21" s="51">
        <f t="shared" si="10"/>
        <v>58</v>
      </c>
      <c r="T21" s="51">
        <f t="shared" si="10"/>
        <v>56</v>
      </c>
      <c r="U21" s="46">
        <f t="shared" si="10"/>
        <v>136</v>
      </c>
      <c r="V21" s="43"/>
      <c r="X21" s="61"/>
      <c r="Y21" s="54">
        <f>SUM(Y17:Y20)</f>
        <v>1</v>
      </c>
      <c r="Z21" s="54">
        <f t="shared" ref="Z21:AD21" si="11">SUM(Z17:Z20)</f>
        <v>8</v>
      </c>
      <c r="AA21" s="54">
        <f t="shared" si="11"/>
        <v>13</v>
      </c>
      <c r="AB21" s="54">
        <f t="shared" si="11"/>
        <v>58</v>
      </c>
      <c r="AC21" s="54">
        <f t="shared" si="11"/>
        <v>55.999999999999993</v>
      </c>
      <c r="AD21" s="46">
        <f t="shared" si="11"/>
        <v>136</v>
      </c>
      <c r="AE21" s="43"/>
      <c r="AG21" s="61"/>
      <c r="AH21" s="51">
        <f>SUM(AH17:AH20)</f>
        <v>3.6896551724137927</v>
      </c>
      <c r="AI21" s="51">
        <f t="shared" ref="AI21:AL21" si="12">SUM(AI17:AI20)</f>
        <v>1.845978419241084</v>
      </c>
      <c r="AJ21" s="51">
        <f t="shared" si="12"/>
        <v>3.354887145143155</v>
      </c>
      <c r="AK21" s="51">
        <f t="shared" si="12"/>
        <v>5.842645419920891</v>
      </c>
      <c r="AL21" s="51">
        <f t="shared" si="12"/>
        <v>3.0783636196141209</v>
      </c>
      <c r="AM21" s="45">
        <f>SUM(AH21:AL21)</f>
        <v>17.811529776333042</v>
      </c>
      <c r="AN21" s="43"/>
      <c r="AP21" s="2" t="s">
        <v>299</v>
      </c>
      <c r="AQ21" s="50">
        <f>SQRT(AQ17/($AQ$9*$AQ$10))</f>
        <v>0.208939489412869</v>
      </c>
      <c r="AR21" t="s">
        <v>337</v>
      </c>
    </row>
    <row r="22" spans="1:44" ht="15.6" x14ac:dyDescent="0.3">
      <c r="A22">
        <v>3</v>
      </c>
      <c r="B22">
        <v>2</v>
      </c>
      <c r="C22">
        <v>2</v>
      </c>
      <c r="D22">
        <v>3</v>
      </c>
      <c r="E22">
        <v>3</v>
      </c>
      <c r="F22">
        <v>2</v>
      </c>
      <c r="G22">
        <v>1</v>
      </c>
      <c r="H22">
        <v>4</v>
      </c>
      <c r="I22">
        <v>4</v>
      </c>
      <c r="J22">
        <v>2</v>
      </c>
      <c r="K22">
        <v>4</v>
      </c>
      <c r="L22">
        <v>2</v>
      </c>
      <c r="O22" s="42"/>
      <c r="U22" s="43"/>
      <c r="V22" s="43"/>
      <c r="X22" s="61"/>
      <c r="AD22" s="43"/>
      <c r="AE22" s="43"/>
      <c r="AG22" s="61"/>
      <c r="AM22" s="45"/>
      <c r="AN22" s="43"/>
    </row>
    <row r="23" spans="1:44" ht="18" x14ac:dyDescent="0.35">
      <c r="A23">
        <v>4</v>
      </c>
      <c r="B23">
        <v>2</v>
      </c>
      <c r="C23">
        <v>2</v>
      </c>
      <c r="D23">
        <v>4</v>
      </c>
      <c r="E23">
        <v>2</v>
      </c>
      <c r="F23">
        <v>2</v>
      </c>
      <c r="G23">
        <v>4</v>
      </c>
      <c r="H23">
        <v>5</v>
      </c>
      <c r="I23">
        <v>5</v>
      </c>
      <c r="J23">
        <v>4</v>
      </c>
      <c r="K23">
        <v>4</v>
      </c>
      <c r="L23">
        <v>4</v>
      </c>
      <c r="P23" s="43"/>
      <c r="Q23" s="43"/>
      <c r="R23" s="43"/>
      <c r="S23" s="43"/>
      <c r="T23" s="43"/>
      <c r="U23" s="48"/>
      <c r="V23" s="46"/>
      <c r="Y23" s="43"/>
      <c r="Z23" s="43"/>
      <c r="AA23" s="43"/>
      <c r="AB23" s="43"/>
      <c r="AC23" s="43"/>
      <c r="AD23" s="48"/>
      <c r="AE23" s="43"/>
      <c r="AH23" s="48"/>
      <c r="AI23" s="48"/>
      <c r="AJ23" s="48"/>
      <c r="AK23" s="48"/>
      <c r="AL23" s="48"/>
      <c r="AM23" s="46"/>
      <c r="AN23" s="43"/>
    </row>
    <row r="24" spans="1:44" ht="18" x14ac:dyDescent="0.35">
      <c r="A24">
        <v>4</v>
      </c>
      <c r="B24">
        <v>2</v>
      </c>
      <c r="C24">
        <v>2</v>
      </c>
      <c r="D24">
        <v>4</v>
      </c>
      <c r="E24">
        <v>2</v>
      </c>
      <c r="F24">
        <v>3</v>
      </c>
      <c r="G24">
        <v>2</v>
      </c>
      <c r="H24">
        <v>4</v>
      </c>
      <c r="I24">
        <v>5</v>
      </c>
      <c r="J24">
        <v>5</v>
      </c>
      <c r="K24">
        <v>4</v>
      </c>
      <c r="L24">
        <v>5</v>
      </c>
      <c r="AN24" s="46"/>
    </row>
    <row r="25" spans="1:44" x14ac:dyDescent="0.3">
      <c r="A25">
        <v>2</v>
      </c>
      <c r="B25">
        <v>2</v>
      </c>
      <c r="C25">
        <v>2</v>
      </c>
      <c r="D25">
        <v>1</v>
      </c>
      <c r="E25">
        <v>2</v>
      </c>
      <c r="F25">
        <v>3</v>
      </c>
      <c r="G25">
        <v>4</v>
      </c>
      <c r="H25">
        <v>5</v>
      </c>
      <c r="I25">
        <v>5</v>
      </c>
      <c r="J25">
        <v>3</v>
      </c>
      <c r="K25">
        <v>4</v>
      </c>
      <c r="L25">
        <v>3</v>
      </c>
    </row>
    <row r="26" spans="1:44" x14ac:dyDescent="0.3">
      <c r="A26">
        <v>3</v>
      </c>
      <c r="B26">
        <v>2</v>
      </c>
      <c r="C26">
        <v>2</v>
      </c>
      <c r="D26">
        <v>2</v>
      </c>
      <c r="E26">
        <v>2</v>
      </c>
      <c r="F26">
        <v>3</v>
      </c>
      <c r="G26">
        <v>3</v>
      </c>
      <c r="H26">
        <v>4</v>
      </c>
      <c r="I26">
        <v>4</v>
      </c>
      <c r="J26">
        <v>3</v>
      </c>
      <c r="K26">
        <v>3</v>
      </c>
      <c r="L26">
        <v>4</v>
      </c>
    </row>
    <row r="27" spans="1:44" x14ac:dyDescent="0.3">
      <c r="A27">
        <v>3</v>
      </c>
      <c r="B27">
        <v>2</v>
      </c>
      <c r="C27">
        <v>2</v>
      </c>
      <c r="D27">
        <v>2</v>
      </c>
      <c r="E27">
        <v>2</v>
      </c>
      <c r="F27">
        <v>2</v>
      </c>
      <c r="G27">
        <v>3</v>
      </c>
      <c r="H27">
        <v>4</v>
      </c>
      <c r="I27">
        <v>4</v>
      </c>
      <c r="J27">
        <v>2</v>
      </c>
      <c r="K27">
        <v>4</v>
      </c>
      <c r="L27">
        <v>4</v>
      </c>
    </row>
    <row r="28" spans="1:44" x14ac:dyDescent="0.3">
      <c r="A28">
        <v>3</v>
      </c>
      <c r="B28">
        <v>2</v>
      </c>
      <c r="C28">
        <v>2</v>
      </c>
      <c r="D28">
        <v>2</v>
      </c>
      <c r="E28">
        <v>4</v>
      </c>
      <c r="F28">
        <v>3</v>
      </c>
      <c r="G28">
        <v>5</v>
      </c>
      <c r="H28">
        <v>5</v>
      </c>
      <c r="I28">
        <v>5</v>
      </c>
      <c r="J28">
        <v>3</v>
      </c>
      <c r="K28">
        <v>5</v>
      </c>
      <c r="L28">
        <v>5</v>
      </c>
    </row>
    <row r="29" spans="1:44" x14ac:dyDescent="0.3">
      <c r="A29">
        <v>3</v>
      </c>
      <c r="B29">
        <v>2</v>
      </c>
      <c r="C29">
        <v>1</v>
      </c>
      <c r="D29">
        <v>2</v>
      </c>
      <c r="E29">
        <v>1</v>
      </c>
      <c r="F29">
        <v>2</v>
      </c>
      <c r="G29">
        <v>1</v>
      </c>
      <c r="H29">
        <v>5</v>
      </c>
      <c r="I29">
        <v>4</v>
      </c>
      <c r="J29">
        <v>3</v>
      </c>
      <c r="K29">
        <v>5</v>
      </c>
      <c r="L29">
        <v>3</v>
      </c>
      <c r="P29" s="106" t="s">
        <v>344</v>
      </c>
      <c r="Q29" s="106"/>
      <c r="R29" s="106"/>
      <c r="S29" s="106"/>
      <c r="T29" s="106"/>
      <c r="U29" s="106"/>
      <c r="Y29" s="106" t="s">
        <v>362</v>
      </c>
      <c r="Z29" s="106"/>
      <c r="AA29" s="106"/>
      <c r="AB29" s="106"/>
      <c r="AC29" s="106"/>
      <c r="AD29" s="106"/>
      <c r="AG29" s="106" t="s">
        <v>354</v>
      </c>
      <c r="AH29" s="106"/>
      <c r="AI29" s="106"/>
      <c r="AJ29" s="106"/>
      <c r="AK29" s="106"/>
      <c r="AL29" s="106"/>
      <c r="AM29" s="106"/>
      <c r="AP29" s="2" t="s">
        <v>204</v>
      </c>
      <c r="AQ29">
        <v>0.05</v>
      </c>
    </row>
    <row r="30" spans="1:44" ht="15.6" x14ac:dyDescent="0.3">
      <c r="A30">
        <v>3</v>
      </c>
      <c r="B30">
        <v>2</v>
      </c>
      <c r="C30">
        <v>2</v>
      </c>
      <c r="D30">
        <v>2</v>
      </c>
      <c r="E30">
        <v>2</v>
      </c>
      <c r="F30">
        <v>2</v>
      </c>
      <c r="G30">
        <v>5</v>
      </c>
      <c r="H30">
        <v>2</v>
      </c>
      <c r="I30">
        <v>5</v>
      </c>
      <c r="J30">
        <v>5</v>
      </c>
      <c r="K30">
        <v>5</v>
      </c>
      <c r="L30">
        <v>5</v>
      </c>
      <c r="O30" s="11" t="s">
        <v>7</v>
      </c>
      <c r="P30" s="10">
        <v>1</v>
      </c>
      <c r="Q30" s="10">
        <v>2</v>
      </c>
      <c r="R30" s="10">
        <v>3</v>
      </c>
      <c r="S30" s="10">
        <v>4</v>
      </c>
      <c r="T30" s="10">
        <v>5</v>
      </c>
      <c r="U30" s="10"/>
      <c r="V30" s="44"/>
      <c r="X30" s="11" t="s">
        <v>7</v>
      </c>
      <c r="Y30" s="10">
        <v>1</v>
      </c>
      <c r="Z30" s="10">
        <v>2</v>
      </c>
      <c r="AA30" s="10">
        <v>3</v>
      </c>
      <c r="AB30" s="10">
        <v>4</v>
      </c>
      <c r="AC30" s="10">
        <v>5</v>
      </c>
      <c r="AD30" s="10"/>
      <c r="AE30" s="52"/>
      <c r="AG30" s="11" t="s">
        <v>147</v>
      </c>
      <c r="AH30" s="10">
        <v>1</v>
      </c>
      <c r="AI30" s="10">
        <v>2</v>
      </c>
      <c r="AJ30" s="10">
        <v>3</v>
      </c>
      <c r="AK30" s="10">
        <v>4</v>
      </c>
      <c r="AL30" s="10">
        <v>5</v>
      </c>
      <c r="AM30" s="10"/>
      <c r="AP30" s="2" t="s">
        <v>205</v>
      </c>
      <c r="AQ30">
        <f>4*3</f>
        <v>12</v>
      </c>
    </row>
    <row r="31" spans="1:44" ht="15.6" x14ac:dyDescent="0.3">
      <c r="A31">
        <v>5</v>
      </c>
      <c r="B31">
        <v>2</v>
      </c>
      <c r="C31">
        <v>2</v>
      </c>
      <c r="D31">
        <v>5</v>
      </c>
      <c r="E31">
        <v>2</v>
      </c>
      <c r="F31">
        <v>2</v>
      </c>
      <c r="G31">
        <v>2</v>
      </c>
      <c r="H31">
        <v>2</v>
      </c>
      <c r="I31">
        <v>4</v>
      </c>
      <c r="J31">
        <v>1</v>
      </c>
      <c r="K31">
        <v>2</v>
      </c>
      <c r="L31">
        <v>2</v>
      </c>
      <c r="O31" s="42">
        <v>1</v>
      </c>
      <c r="P31">
        <f>COUNTIFS($E$2:$E$137,"1",$I$2:$I$137,"1")</f>
        <v>1</v>
      </c>
      <c r="Q31">
        <f>COUNTIFS($E$2:$E$137,"1",$I$2:$I$137,"2")</f>
        <v>0</v>
      </c>
      <c r="R31">
        <f>COUNTIFS($E$2:$E$137,"1",$I$2:$I$137,"3")</f>
        <v>2</v>
      </c>
      <c r="S31">
        <f>COUNTIFS($E$2:$E$137,"1",$I$2:$I$137,"4")</f>
        <v>15</v>
      </c>
      <c r="T31">
        <f>COUNTIFS($E$2:$E$137,"1",$I$2:$I$137,"5")</f>
        <v>11</v>
      </c>
      <c r="U31" s="56">
        <f>SUM(P31:T31)</f>
        <v>29</v>
      </c>
      <c r="V31" s="43"/>
      <c r="X31" s="42">
        <v>1</v>
      </c>
      <c r="Y31">
        <f t="shared" ref="Y31:AC33" si="13">$U31*P$35/$U$35</f>
        <v>0.21323529411764705</v>
      </c>
      <c r="Z31">
        <f t="shared" si="13"/>
        <v>0.21323529411764705</v>
      </c>
      <c r="AA31">
        <f t="shared" si="13"/>
        <v>2.3455882352941178</v>
      </c>
      <c r="AB31">
        <f t="shared" si="13"/>
        <v>15.139705882352942</v>
      </c>
      <c r="AC31">
        <f t="shared" si="13"/>
        <v>11.088235294117647</v>
      </c>
      <c r="AD31" s="58">
        <f>SUM(Y31:AC31)</f>
        <v>29</v>
      </c>
      <c r="AE31" s="43"/>
      <c r="AG31" s="42">
        <v>1</v>
      </c>
      <c r="AH31">
        <f t="shared" ref="AH31:AL34" si="14">(P31-Y31)^2/Y31</f>
        <v>2.9028904665314399</v>
      </c>
      <c r="AI31">
        <f t="shared" si="14"/>
        <v>0.21323529411764705</v>
      </c>
      <c r="AJ31">
        <f t="shared" si="14"/>
        <v>5.0917388899133352E-2</v>
      </c>
      <c r="AK31">
        <f t="shared" si="14"/>
        <v>1.2891752135531394E-3</v>
      </c>
      <c r="AL31">
        <f t="shared" si="14"/>
        <v>7.0213761897331382E-4</v>
      </c>
      <c r="AM31" s="54">
        <f>SUM(AH31:AL31)</f>
        <v>3.1690344623807474</v>
      </c>
      <c r="AN31" s="44"/>
      <c r="AP31" s="2" t="s">
        <v>202</v>
      </c>
      <c r="AQ31" s="10">
        <f>SUM(AH31:AL34)</f>
        <v>14.635868703800515</v>
      </c>
    </row>
    <row r="32" spans="1:44" ht="15.6" x14ac:dyDescent="0.3">
      <c r="A32">
        <v>6</v>
      </c>
      <c r="B32">
        <v>2</v>
      </c>
      <c r="C32">
        <v>1</v>
      </c>
      <c r="D32">
        <v>5</v>
      </c>
      <c r="E32">
        <v>1</v>
      </c>
      <c r="F32">
        <v>1</v>
      </c>
      <c r="G32">
        <v>5</v>
      </c>
      <c r="H32">
        <v>4</v>
      </c>
      <c r="I32">
        <v>5</v>
      </c>
      <c r="J32">
        <v>5</v>
      </c>
      <c r="K32">
        <v>5</v>
      </c>
      <c r="L32">
        <v>4</v>
      </c>
      <c r="O32" s="42">
        <v>2</v>
      </c>
      <c r="P32">
        <f>COUNTIFS($E$2:$E$137,"2",$I$2:$I$137,"1")</f>
        <v>0</v>
      </c>
      <c r="Q32">
        <f>COUNTIFS($E$2:$E$137,"2",$I$2:$I$137,"2")</f>
        <v>0</v>
      </c>
      <c r="R32">
        <f>COUNTIFS($E$2:$E$137,"2",$I$2:$I$137,"3")</f>
        <v>6</v>
      </c>
      <c r="S32">
        <f>COUNTIFS($E$2:$E$137,"2",$I$2:$I$137,"4")</f>
        <v>37</v>
      </c>
      <c r="T32">
        <f>COUNTIFS($E$2:$E$137,"2",$I$2:$I$137,"5")</f>
        <v>28</v>
      </c>
      <c r="U32" s="56">
        <f>SUM(P32:T32)</f>
        <v>71</v>
      </c>
      <c r="V32" s="43"/>
      <c r="X32" s="42">
        <v>2</v>
      </c>
      <c r="Y32">
        <f t="shared" si="13"/>
        <v>0.5220588235294118</v>
      </c>
      <c r="Z32">
        <f t="shared" si="13"/>
        <v>0.5220588235294118</v>
      </c>
      <c r="AA32">
        <f t="shared" si="13"/>
        <v>5.742647058823529</v>
      </c>
      <c r="AB32">
        <f t="shared" si="13"/>
        <v>37.066176470588232</v>
      </c>
      <c r="AC32">
        <f t="shared" si="13"/>
        <v>27.147058823529413</v>
      </c>
      <c r="AD32" s="58">
        <f>SUM(Y32:AC32)</f>
        <v>71</v>
      </c>
      <c r="AE32" s="43"/>
      <c r="AG32" s="42">
        <v>2</v>
      </c>
      <c r="AH32">
        <f t="shared" si="14"/>
        <v>0.5220588235294118</v>
      </c>
      <c r="AI32">
        <f t="shared" si="14"/>
        <v>0.5220588235294118</v>
      </c>
      <c r="AJ32">
        <f t="shared" si="14"/>
        <v>1.153310235746031E-2</v>
      </c>
      <c r="AK32">
        <f t="shared" si="14"/>
        <v>1.181488266800352E-4</v>
      </c>
      <c r="AL32">
        <f t="shared" si="14"/>
        <v>2.6798801860939313E-2</v>
      </c>
      <c r="AM32" s="54">
        <f>SUM(AH32:AL32)</f>
        <v>1.0825677001039031</v>
      </c>
      <c r="AN32" s="43"/>
      <c r="AP32" s="2" t="s">
        <v>203</v>
      </c>
      <c r="AQ32" s="50">
        <v>21.03</v>
      </c>
    </row>
    <row r="33" spans="1:44" ht="15.6" x14ac:dyDescent="0.3">
      <c r="A33">
        <v>3</v>
      </c>
      <c r="B33">
        <v>2</v>
      </c>
      <c r="C33">
        <v>2</v>
      </c>
      <c r="D33">
        <v>2</v>
      </c>
      <c r="E33">
        <v>2</v>
      </c>
      <c r="F33">
        <v>2</v>
      </c>
      <c r="G33">
        <v>3</v>
      </c>
      <c r="H33">
        <v>5</v>
      </c>
      <c r="I33">
        <v>4</v>
      </c>
      <c r="J33">
        <v>3</v>
      </c>
      <c r="K33">
        <v>4</v>
      </c>
      <c r="L33">
        <v>3</v>
      </c>
      <c r="O33" s="42">
        <v>3</v>
      </c>
      <c r="P33">
        <f>COUNTIFS($E$2:$E$137,"3",$I$2:$I$137,"1")</f>
        <v>0</v>
      </c>
      <c r="Q33">
        <f>COUNTIFS($E$2:$E$137,"3",$I$2:$I$137,"2")</f>
        <v>1</v>
      </c>
      <c r="R33">
        <f>COUNTIFS($E$2:$E$137,"3",$I$2:$I$137,"3")</f>
        <v>1</v>
      </c>
      <c r="S33">
        <f>COUNTIFS($E$2:$E$137,"3",$I$2:$I$137,"4")</f>
        <v>5</v>
      </c>
      <c r="T33">
        <f>COUNTIFS($E$2:$E$137,"3",$I$2:$I$137,"5")</f>
        <v>6</v>
      </c>
      <c r="U33" s="56">
        <f>SUM(P33:T33)</f>
        <v>13</v>
      </c>
      <c r="V33" s="43"/>
      <c r="X33" s="42">
        <v>3</v>
      </c>
      <c r="Y33">
        <f t="shared" si="13"/>
        <v>9.5588235294117641E-2</v>
      </c>
      <c r="Z33">
        <f t="shared" si="13"/>
        <v>9.5588235294117641E-2</v>
      </c>
      <c r="AA33">
        <f t="shared" si="13"/>
        <v>1.0514705882352942</v>
      </c>
      <c r="AB33">
        <f t="shared" si="13"/>
        <v>6.7867647058823533</v>
      </c>
      <c r="AC33">
        <f t="shared" si="13"/>
        <v>4.9705882352941178</v>
      </c>
      <c r="AD33" s="58">
        <f>SUM(Y33:AC33)</f>
        <v>13</v>
      </c>
      <c r="AE33" s="43"/>
      <c r="AG33" s="42">
        <v>3</v>
      </c>
      <c r="AH33">
        <f t="shared" si="14"/>
        <v>9.5588235294117654E-2</v>
      </c>
      <c r="AI33">
        <f>(Q33-Z33)^2/Z33</f>
        <v>8.5571266968325794</v>
      </c>
      <c r="AJ33">
        <f>(R33-AA33)^2/AA33</f>
        <v>2.5195392842451703E-3</v>
      </c>
      <c r="AK33">
        <f>(S33-AB33)^2/AB33</f>
        <v>0.47040500924096629</v>
      </c>
      <c r="AL33">
        <f>(T33-AC33)^2/AC33</f>
        <v>0.21319178558997559</v>
      </c>
      <c r="AM33" s="54">
        <f>SUM(AH33:AL33)</f>
        <v>9.3388312662418844</v>
      </c>
      <c r="AN33" s="43"/>
      <c r="AP33" s="2" t="s">
        <v>206</v>
      </c>
      <c r="AQ33">
        <f>_xlfn.CHISQ.DIST.RT(AQ31,AQ30)</f>
        <v>0.26195611841198368</v>
      </c>
      <c r="AR33" t="s">
        <v>220</v>
      </c>
    </row>
    <row r="34" spans="1:44" ht="15.6" x14ac:dyDescent="0.3">
      <c r="A34">
        <v>3</v>
      </c>
      <c r="B34">
        <v>2</v>
      </c>
      <c r="C34">
        <v>2</v>
      </c>
      <c r="D34">
        <v>1</v>
      </c>
      <c r="E34">
        <v>2</v>
      </c>
      <c r="F34">
        <v>2</v>
      </c>
      <c r="G34">
        <v>5</v>
      </c>
      <c r="H34">
        <v>4</v>
      </c>
      <c r="I34">
        <v>4</v>
      </c>
      <c r="J34">
        <v>3</v>
      </c>
      <c r="K34">
        <v>5</v>
      </c>
      <c r="L34">
        <v>4</v>
      </c>
      <c r="O34" s="42">
        <v>4</v>
      </c>
      <c r="P34">
        <f>COUNTIFS($E$2:$E$137,"4",$I$2:$I$137,"1")</f>
        <v>0</v>
      </c>
      <c r="Q34">
        <f>COUNTIFS($E$2:$E$137,"4",$I$2:$I$137,"2")</f>
        <v>0</v>
      </c>
      <c r="R34">
        <f>COUNTIFS($E$2:$E$137,"4",$I$2:$I$137,"3")</f>
        <v>2</v>
      </c>
      <c r="S34">
        <f>COUNTIFS($E$2:$E$137,"4",$I$2:$I$137,"4")</f>
        <v>14</v>
      </c>
      <c r="T34">
        <f>COUNTIFS($E$2:$E$137,"4",$I$2:$I$137,"5")</f>
        <v>7</v>
      </c>
      <c r="U34" s="56">
        <f>SUM(P34:T34)</f>
        <v>23</v>
      </c>
      <c r="V34" s="43"/>
      <c r="X34" s="61">
        <v>4</v>
      </c>
      <c r="Y34">
        <f>$U34*P$35/$U$35</f>
        <v>0.16911764705882354</v>
      </c>
      <c r="Z34">
        <f t="shared" ref="Z34:AC34" si="15">$U34*Q$35/$U$35</f>
        <v>0.16911764705882354</v>
      </c>
      <c r="AA34">
        <f t="shared" si="15"/>
        <v>1.8602941176470589</v>
      </c>
      <c r="AB34">
        <f t="shared" si="15"/>
        <v>12.007352941176471</v>
      </c>
      <c r="AC34">
        <f t="shared" si="15"/>
        <v>8.7941176470588243</v>
      </c>
      <c r="AD34" s="58">
        <f>SUM(Y34:AC34)</f>
        <v>23</v>
      </c>
      <c r="AE34" s="43"/>
      <c r="AG34" s="61">
        <v>4</v>
      </c>
      <c r="AH34">
        <f t="shared" si="14"/>
        <v>0.16911764705882354</v>
      </c>
      <c r="AI34">
        <f t="shared" ref="AI34" si="16">(Q34-Z34)^2/Z34</f>
        <v>0.16911764705882354</v>
      </c>
      <c r="AJ34">
        <f t="shared" ref="AJ34" si="17">(R34-AA34)^2/AA34</f>
        <v>1.0491746105556839E-2</v>
      </c>
      <c r="AK34">
        <f t="shared" ref="AK34" si="18">(S34-AB34)^2/AB34</f>
        <v>0.33068423327689911</v>
      </c>
      <c r="AL34">
        <f t="shared" ref="AL34" si="19">(T34-AC34)^2/AC34</f>
        <v>0.36602400157387394</v>
      </c>
      <c r="AM34" s="54">
        <f>SUM(AH34:AL34)</f>
        <v>1.0454352750739768</v>
      </c>
      <c r="AN34" s="43"/>
      <c r="AP34" t="s">
        <v>210</v>
      </c>
    </row>
    <row r="35" spans="1:44" ht="15.6" x14ac:dyDescent="0.3">
      <c r="A35">
        <v>5</v>
      </c>
      <c r="B35">
        <v>2</v>
      </c>
      <c r="C35">
        <v>3</v>
      </c>
      <c r="D35">
        <v>5</v>
      </c>
      <c r="E35">
        <v>4</v>
      </c>
      <c r="F35">
        <v>1</v>
      </c>
      <c r="G35">
        <v>4</v>
      </c>
      <c r="H35">
        <v>5</v>
      </c>
      <c r="I35">
        <v>5</v>
      </c>
      <c r="J35">
        <v>4</v>
      </c>
      <c r="K35">
        <v>3</v>
      </c>
      <c r="L35">
        <v>4</v>
      </c>
      <c r="O35" s="42"/>
      <c r="P35" s="54">
        <f>SUM(P31:P34)</f>
        <v>1</v>
      </c>
      <c r="Q35" s="54">
        <f t="shared" ref="Q35:T35" si="20">SUM(Q31:Q34)</f>
        <v>1</v>
      </c>
      <c r="R35" s="54">
        <f t="shared" si="20"/>
        <v>11</v>
      </c>
      <c r="S35" s="54">
        <f t="shared" si="20"/>
        <v>71</v>
      </c>
      <c r="T35" s="54">
        <f t="shared" si="20"/>
        <v>52</v>
      </c>
      <c r="U35" s="48">
        <f>SUM(P35:T35)</f>
        <v>136</v>
      </c>
      <c r="V35" s="43"/>
      <c r="X35" s="61"/>
      <c r="Y35" s="54">
        <f>SUM(Y31:Y34)</f>
        <v>1</v>
      </c>
      <c r="Z35" s="54">
        <f t="shared" ref="Z35:AC35" si="21">SUM(Z31:Z34)</f>
        <v>1</v>
      </c>
      <c r="AA35" s="54">
        <f t="shared" si="21"/>
        <v>11</v>
      </c>
      <c r="AB35" s="54">
        <f t="shared" si="21"/>
        <v>71</v>
      </c>
      <c r="AC35" s="54">
        <f t="shared" si="21"/>
        <v>52</v>
      </c>
      <c r="AD35" s="45">
        <f>SUM(AD31:AD34)</f>
        <v>136</v>
      </c>
      <c r="AE35" s="43"/>
      <c r="AG35" s="61"/>
      <c r="AH35" s="54">
        <f>SUM(AH31:AH34)</f>
        <v>3.6896551724137927</v>
      </c>
      <c r="AI35" s="54">
        <f t="shared" ref="AI35:AL35" si="22">SUM(AI31:AI34)</f>
        <v>9.4615384615384617</v>
      </c>
      <c r="AJ35" s="54">
        <f t="shared" si="22"/>
        <v>7.5461776646395667E-2</v>
      </c>
      <c r="AK35" s="54">
        <f t="shared" si="22"/>
        <v>0.80249656655809853</v>
      </c>
      <c r="AL35" s="54">
        <f t="shared" si="22"/>
        <v>0.60671672664376208</v>
      </c>
      <c r="AM35" s="45">
        <f>SUM(AM31:AM34)</f>
        <v>14.635868703800512</v>
      </c>
      <c r="AN35" s="43"/>
      <c r="AP35" s="2" t="s">
        <v>299</v>
      </c>
      <c r="AQ35" s="50">
        <f>SQRT(AQ31/($AQ$9*$AQ$10))</f>
        <v>0.18939964945901389</v>
      </c>
      <c r="AR35" t="s">
        <v>337</v>
      </c>
    </row>
    <row r="36" spans="1:44" ht="15.6" x14ac:dyDescent="0.3">
      <c r="A36">
        <v>5</v>
      </c>
      <c r="B36">
        <v>2</v>
      </c>
      <c r="C36">
        <v>2</v>
      </c>
      <c r="D36">
        <v>5</v>
      </c>
      <c r="E36">
        <v>2</v>
      </c>
      <c r="F36">
        <v>2</v>
      </c>
      <c r="G36">
        <v>4</v>
      </c>
      <c r="H36">
        <v>5</v>
      </c>
      <c r="I36">
        <v>4</v>
      </c>
      <c r="J36">
        <v>3</v>
      </c>
      <c r="K36">
        <v>5</v>
      </c>
      <c r="L36">
        <v>4</v>
      </c>
      <c r="O36" s="42"/>
      <c r="U36" s="43"/>
      <c r="V36" s="43"/>
      <c r="X36" s="61"/>
      <c r="AD36" s="43"/>
      <c r="AE36" s="43"/>
      <c r="AG36" s="61"/>
      <c r="AM36" s="45"/>
      <c r="AN36" s="43"/>
    </row>
    <row r="37" spans="1:44" ht="18" x14ac:dyDescent="0.35">
      <c r="A37">
        <v>5</v>
      </c>
      <c r="B37">
        <v>2</v>
      </c>
      <c r="C37">
        <v>2</v>
      </c>
      <c r="D37">
        <v>4</v>
      </c>
      <c r="E37">
        <v>4</v>
      </c>
      <c r="F37">
        <v>1</v>
      </c>
      <c r="G37">
        <v>5</v>
      </c>
      <c r="H37">
        <v>4</v>
      </c>
      <c r="I37">
        <v>4</v>
      </c>
      <c r="J37">
        <v>5</v>
      </c>
      <c r="K37">
        <v>4</v>
      </c>
      <c r="L37">
        <v>2</v>
      </c>
      <c r="P37" s="43"/>
      <c r="Q37" s="43"/>
      <c r="R37" s="43"/>
      <c r="S37" s="43"/>
      <c r="T37" s="43"/>
      <c r="U37" s="43"/>
      <c r="V37" s="43"/>
      <c r="Y37" s="43"/>
      <c r="Z37" s="43"/>
      <c r="AA37" s="43"/>
      <c r="AB37" s="43"/>
      <c r="AC37" s="43"/>
      <c r="AD37" s="48"/>
      <c r="AE37" s="43"/>
      <c r="AH37" s="48"/>
      <c r="AI37" s="48"/>
      <c r="AJ37" s="48"/>
      <c r="AK37" s="48"/>
      <c r="AL37" s="48"/>
      <c r="AM37" s="46"/>
      <c r="AN37" s="43"/>
    </row>
    <row r="38" spans="1:44" x14ac:dyDescent="0.3">
      <c r="A38">
        <v>3</v>
      </c>
      <c r="B38">
        <v>2</v>
      </c>
      <c r="C38">
        <v>1</v>
      </c>
      <c r="D38">
        <v>2</v>
      </c>
      <c r="E38">
        <v>1</v>
      </c>
      <c r="F38">
        <v>2</v>
      </c>
      <c r="G38">
        <v>5</v>
      </c>
      <c r="H38">
        <v>5</v>
      </c>
      <c r="I38">
        <v>5</v>
      </c>
      <c r="J38">
        <v>3</v>
      </c>
      <c r="K38">
        <v>4</v>
      </c>
      <c r="L38">
        <v>3</v>
      </c>
    </row>
    <row r="39" spans="1:44" x14ac:dyDescent="0.3">
      <c r="A39">
        <v>6</v>
      </c>
      <c r="B39">
        <v>2</v>
      </c>
      <c r="C39">
        <v>1</v>
      </c>
      <c r="D39">
        <v>5</v>
      </c>
      <c r="E39">
        <v>2</v>
      </c>
      <c r="F39">
        <v>2</v>
      </c>
      <c r="G39">
        <v>5</v>
      </c>
      <c r="H39">
        <v>4</v>
      </c>
      <c r="I39">
        <v>4</v>
      </c>
      <c r="J39">
        <v>5</v>
      </c>
      <c r="K39">
        <v>5</v>
      </c>
      <c r="L39">
        <v>5</v>
      </c>
    </row>
    <row r="40" spans="1:44" x14ac:dyDescent="0.3">
      <c r="A40">
        <v>5</v>
      </c>
      <c r="B40">
        <v>2</v>
      </c>
      <c r="C40">
        <v>3</v>
      </c>
      <c r="D40">
        <v>5</v>
      </c>
      <c r="E40">
        <v>4</v>
      </c>
      <c r="F40">
        <v>2</v>
      </c>
      <c r="G40">
        <v>5</v>
      </c>
      <c r="H40">
        <v>5</v>
      </c>
      <c r="I40">
        <v>5</v>
      </c>
      <c r="J40">
        <v>3</v>
      </c>
      <c r="K40">
        <v>4</v>
      </c>
      <c r="L40">
        <v>4</v>
      </c>
    </row>
    <row r="41" spans="1:44" x14ac:dyDescent="0.3">
      <c r="A41">
        <v>3</v>
      </c>
      <c r="B41">
        <v>2</v>
      </c>
      <c r="C41">
        <v>2</v>
      </c>
      <c r="D41">
        <v>2</v>
      </c>
      <c r="E41">
        <v>2</v>
      </c>
      <c r="F41">
        <v>3</v>
      </c>
      <c r="G41">
        <v>2</v>
      </c>
      <c r="H41">
        <v>2</v>
      </c>
      <c r="I41">
        <v>4</v>
      </c>
      <c r="J41">
        <v>2</v>
      </c>
      <c r="K41">
        <v>4</v>
      </c>
      <c r="L41">
        <v>5</v>
      </c>
    </row>
    <row r="42" spans="1:44" x14ac:dyDescent="0.3">
      <c r="A42">
        <v>6</v>
      </c>
      <c r="B42">
        <v>2</v>
      </c>
      <c r="C42">
        <v>1</v>
      </c>
      <c r="D42">
        <v>5</v>
      </c>
      <c r="E42">
        <v>1</v>
      </c>
      <c r="F42">
        <v>1</v>
      </c>
      <c r="G42">
        <v>2</v>
      </c>
      <c r="H42">
        <v>2</v>
      </c>
      <c r="I42">
        <v>4</v>
      </c>
      <c r="J42">
        <v>2</v>
      </c>
      <c r="K42">
        <v>2</v>
      </c>
      <c r="L42">
        <v>2</v>
      </c>
    </row>
    <row r="43" spans="1:44" x14ac:dyDescent="0.3">
      <c r="A43">
        <v>5</v>
      </c>
      <c r="B43">
        <v>2</v>
      </c>
      <c r="C43">
        <v>1</v>
      </c>
      <c r="D43">
        <v>5</v>
      </c>
      <c r="E43">
        <v>1</v>
      </c>
      <c r="F43">
        <v>2</v>
      </c>
      <c r="G43">
        <v>4</v>
      </c>
      <c r="H43">
        <v>4</v>
      </c>
      <c r="I43">
        <v>4</v>
      </c>
      <c r="J43">
        <v>3</v>
      </c>
      <c r="K43">
        <v>5</v>
      </c>
      <c r="L43">
        <v>2</v>
      </c>
      <c r="P43" s="106" t="s">
        <v>345</v>
      </c>
      <c r="Q43" s="106"/>
      <c r="R43" s="106"/>
      <c r="S43" s="106"/>
      <c r="T43" s="106"/>
      <c r="U43" s="106"/>
      <c r="Y43" s="106" t="s">
        <v>363</v>
      </c>
      <c r="Z43" s="106"/>
      <c r="AA43" s="106"/>
      <c r="AB43" s="106"/>
      <c r="AC43" s="106"/>
      <c r="AD43" s="106"/>
      <c r="AG43" s="106" t="s">
        <v>355</v>
      </c>
      <c r="AH43" s="106"/>
      <c r="AI43" s="106"/>
      <c r="AJ43" s="106"/>
      <c r="AK43" s="106"/>
      <c r="AL43" s="106"/>
      <c r="AM43" s="106"/>
      <c r="AP43" s="2" t="s">
        <v>204</v>
      </c>
      <c r="AQ43">
        <v>0.05</v>
      </c>
    </row>
    <row r="44" spans="1:44" ht="15.6" x14ac:dyDescent="0.3">
      <c r="A44">
        <v>5</v>
      </c>
      <c r="B44">
        <v>1</v>
      </c>
      <c r="C44">
        <v>1</v>
      </c>
      <c r="D44">
        <v>5</v>
      </c>
      <c r="E44">
        <v>1</v>
      </c>
      <c r="F44">
        <v>2</v>
      </c>
      <c r="G44">
        <v>4</v>
      </c>
      <c r="H44">
        <v>5</v>
      </c>
      <c r="I44">
        <v>5</v>
      </c>
      <c r="J44">
        <v>3</v>
      </c>
      <c r="K44">
        <v>3</v>
      </c>
      <c r="L44">
        <v>3</v>
      </c>
      <c r="O44" s="11" t="s">
        <v>7</v>
      </c>
      <c r="P44" s="10">
        <v>1</v>
      </c>
      <c r="Q44" s="10">
        <v>2</v>
      </c>
      <c r="R44" s="10">
        <v>3</v>
      </c>
      <c r="S44" s="10">
        <v>4</v>
      </c>
      <c r="T44" s="10">
        <v>5</v>
      </c>
      <c r="U44" s="10"/>
      <c r="V44" s="44"/>
      <c r="X44" s="11" t="s">
        <v>7</v>
      </c>
      <c r="Y44" s="10">
        <v>1</v>
      </c>
      <c r="Z44" s="10">
        <v>2</v>
      </c>
      <c r="AA44" s="10">
        <v>3</v>
      </c>
      <c r="AB44" s="10">
        <v>4</v>
      </c>
      <c r="AC44" s="10">
        <v>5</v>
      </c>
      <c r="AD44" s="10"/>
      <c r="AE44" s="52"/>
      <c r="AG44" s="11" t="s">
        <v>7</v>
      </c>
      <c r="AH44" s="10">
        <v>1</v>
      </c>
      <c r="AI44" s="10">
        <v>2</v>
      </c>
      <c r="AJ44" s="10">
        <v>3</v>
      </c>
      <c r="AK44" s="10">
        <v>4</v>
      </c>
      <c r="AL44" s="10">
        <v>5</v>
      </c>
      <c r="AM44" s="10"/>
      <c r="AP44" s="2" t="s">
        <v>205</v>
      </c>
      <c r="AQ44">
        <f>4*3</f>
        <v>12</v>
      </c>
    </row>
    <row r="45" spans="1:44" ht="15.6" x14ac:dyDescent="0.3">
      <c r="A45">
        <v>5</v>
      </c>
      <c r="B45">
        <v>2</v>
      </c>
      <c r="C45">
        <v>3</v>
      </c>
      <c r="D45">
        <v>5</v>
      </c>
      <c r="E45">
        <v>3</v>
      </c>
      <c r="F45">
        <v>2</v>
      </c>
      <c r="G45">
        <v>3</v>
      </c>
      <c r="H45">
        <v>4</v>
      </c>
      <c r="I45">
        <v>5</v>
      </c>
      <c r="J45">
        <v>2</v>
      </c>
      <c r="K45">
        <v>2</v>
      </c>
      <c r="L45">
        <v>4</v>
      </c>
      <c r="O45" s="42">
        <v>1</v>
      </c>
      <c r="P45">
        <f>COUNTIFS($E$2:$E$137,"1",$J$2:$J$137,"1")</f>
        <v>2</v>
      </c>
      <c r="Q45">
        <f>COUNTIFS($E$2:$E$137,"1",$J$2:$J$137,"2")</f>
        <v>5</v>
      </c>
      <c r="R45">
        <f>COUNTIFS($E$2:$E$137,"1",$J$2:$J$137,"3")</f>
        <v>11</v>
      </c>
      <c r="S45">
        <f>COUNTIFS($E2:$E$137,"1",$J$2:$J$137,"4")</f>
        <v>7</v>
      </c>
      <c r="T45">
        <f>COUNTIFS($E$2:$E$137,"1",$J$2:$J$137,"5")</f>
        <v>4</v>
      </c>
      <c r="U45" s="51">
        <f>SUM(P45:T45)</f>
        <v>29</v>
      </c>
      <c r="V45" s="43"/>
      <c r="X45" s="42">
        <v>1</v>
      </c>
      <c r="Y45">
        <f t="shared" ref="Y45:AC46" si="23">$U45*P$49/$U$49</f>
        <v>0.8529411764705882</v>
      </c>
      <c r="Z45">
        <f t="shared" si="23"/>
        <v>5.9705882352941178</v>
      </c>
      <c r="AA45">
        <f t="shared" si="23"/>
        <v>11.727941176470589</v>
      </c>
      <c r="AB45">
        <f t="shared" si="23"/>
        <v>7.8897058823529411</v>
      </c>
      <c r="AC45">
        <f t="shared" si="23"/>
        <v>2.5588235294117645</v>
      </c>
      <c r="AD45" s="56">
        <f>SUM(Y45:AC45)</f>
        <v>29</v>
      </c>
      <c r="AE45" s="43"/>
      <c r="AG45" s="42">
        <v>1</v>
      </c>
      <c r="AH45">
        <f t="shared" ref="AH45:AL48" si="24">(P45-Y45)^2/Y45</f>
        <v>1.5425963488843812</v>
      </c>
      <c r="AI45">
        <f t="shared" si="24"/>
        <v>0.15778035352071865</v>
      </c>
      <c r="AJ45">
        <f t="shared" si="24"/>
        <v>4.5182555780933123E-2</v>
      </c>
      <c r="AK45">
        <f t="shared" si="24"/>
        <v>0.10033029987391041</v>
      </c>
      <c r="AL45">
        <f t="shared" si="24"/>
        <v>0.81169709263015577</v>
      </c>
      <c r="AM45" s="54">
        <f>SUM(AH45:AL45)</f>
        <v>2.6575866506900994</v>
      </c>
      <c r="AN45" s="44"/>
      <c r="AP45" s="2" t="s">
        <v>202</v>
      </c>
      <c r="AQ45" s="10">
        <f>SUM(AH45:AL48)</f>
        <v>6.4444408660807504</v>
      </c>
    </row>
    <row r="46" spans="1:44" ht="15.6" x14ac:dyDescent="0.3">
      <c r="A46">
        <v>3</v>
      </c>
      <c r="B46">
        <v>2</v>
      </c>
      <c r="C46">
        <v>2</v>
      </c>
      <c r="D46">
        <v>3</v>
      </c>
      <c r="E46">
        <v>2</v>
      </c>
      <c r="F46">
        <v>2</v>
      </c>
      <c r="G46">
        <v>5</v>
      </c>
      <c r="H46">
        <v>5</v>
      </c>
      <c r="I46">
        <v>5</v>
      </c>
      <c r="J46">
        <v>5</v>
      </c>
      <c r="K46">
        <v>4</v>
      </c>
      <c r="L46">
        <v>5</v>
      </c>
      <c r="O46" s="42">
        <v>2</v>
      </c>
      <c r="P46">
        <f>COUNTIFS($E$2:$E$137,"2",$J$2:$J$137,"1")</f>
        <v>1</v>
      </c>
      <c r="Q46">
        <f>COUNTIFS($E$2:$E$137,"2",$J$2:$J$137,"2")</f>
        <v>15</v>
      </c>
      <c r="R46">
        <f>COUNTIFS($E$2:$E$137,"2",$J$2:$J$137,"3")</f>
        <v>30</v>
      </c>
      <c r="S46">
        <f>COUNTIFS($E$2:$E$137,"2",$J$2:$J$137,"4")</f>
        <v>18</v>
      </c>
      <c r="T46">
        <f>COUNTIFS($E$2:$E$137,"2",$J$2:$J$137,"5")</f>
        <v>7</v>
      </c>
      <c r="U46" s="51">
        <f>SUM(P46:T46)</f>
        <v>71</v>
      </c>
      <c r="V46" s="43"/>
      <c r="X46" s="42">
        <v>2</v>
      </c>
      <c r="Y46">
        <f t="shared" si="23"/>
        <v>2.0882352941176472</v>
      </c>
      <c r="Z46">
        <f t="shared" si="23"/>
        <v>14.617647058823529</v>
      </c>
      <c r="AA46">
        <f t="shared" si="23"/>
        <v>28.713235294117649</v>
      </c>
      <c r="AB46">
        <f t="shared" si="23"/>
        <v>19.316176470588236</v>
      </c>
      <c r="AC46">
        <f t="shared" si="23"/>
        <v>6.2647058823529411</v>
      </c>
      <c r="AD46" s="56">
        <f>SUM(Y46:AC46)</f>
        <v>71</v>
      </c>
      <c r="AE46" s="43"/>
      <c r="AG46" s="42">
        <v>2</v>
      </c>
      <c r="AH46">
        <f t="shared" si="24"/>
        <v>0.56710853355426694</v>
      </c>
      <c r="AI46">
        <f t="shared" si="24"/>
        <v>1.0001183572020379E-2</v>
      </c>
      <c r="AJ46">
        <f t="shared" si="24"/>
        <v>5.7665511787301213E-2</v>
      </c>
      <c r="AK46">
        <f t="shared" si="24"/>
        <v>8.9682370854698976E-2</v>
      </c>
      <c r="AL46">
        <f t="shared" si="24"/>
        <v>8.6302126484396599E-2</v>
      </c>
      <c r="AM46" s="54">
        <f>SUM(AH46:AL46)</f>
        <v>0.81075972625268411</v>
      </c>
      <c r="AN46" s="43"/>
      <c r="AP46" s="2" t="s">
        <v>203</v>
      </c>
      <c r="AQ46" s="50">
        <v>21.03</v>
      </c>
    </row>
    <row r="47" spans="1:44" ht="15.6" x14ac:dyDescent="0.3">
      <c r="A47">
        <v>5</v>
      </c>
      <c r="B47">
        <v>2</v>
      </c>
      <c r="C47">
        <v>3</v>
      </c>
      <c r="D47">
        <v>5</v>
      </c>
      <c r="E47">
        <v>3</v>
      </c>
      <c r="F47">
        <v>2</v>
      </c>
      <c r="G47">
        <v>4</v>
      </c>
      <c r="H47">
        <v>5</v>
      </c>
      <c r="I47">
        <v>5</v>
      </c>
      <c r="J47">
        <v>4</v>
      </c>
      <c r="K47">
        <v>4</v>
      </c>
      <c r="L47">
        <v>3</v>
      </c>
      <c r="O47" s="42">
        <v>3</v>
      </c>
      <c r="P47">
        <f>COUNTIFS($E$2:$E$137,"3",$J$2:$J$137,"1")</f>
        <v>0</v>
      </c>
      <c r="Q47">
        <f>COUNTIFS($E$2:$E$137,"3",$J$2:$J$137,"2")</f>
        <v>3</v>
      </c>
      <c r="R47">
        <f>COUNTIFS($E$2:$E$137,"3",$J$2:$J$137,"3")</f>
        <v>5</v>
      </c>
      <c r="S47">
        <f>COUNTIFS($E$2:$E$137,"3",$J$2:$J$137,"4")</f>
        <v>5</v>
      </c>
      <c r="T47">
        <f>COUNTIFS($E$2:$E$137,"3",$J$2:$J$137,"5")</f>
        <v>0</v>
      </c>
      <c r="U47" s="51">
        <f>SUM(P47:T47)</f>
        <v>13</v>
      </c>
      <c r="V47" s="43"/>
      <c r="X47" s="42">
        <v>3</v>
      </c>
      <c r="Y47">
        <f>$U47*P$49/$U$49</f>
        <v>0.38235294117647056</v>
      </c>
      <c r="Z47">
        <f t="shared" ref="Z47:AC48" si="25">$U47*Q$49/$U$49</f>
        <v>2.6764705882352939</v>
      </c>
      <c r="AA47">
        <f t="shared" si="25"/>
        <v>5.257352941176471</v>
      </c>
      <c r="AB47">
        <f t="shared" si="25"/>
        <v>3.5367647058823528</v>
      </c>
      <c r="AC47">
        <f t="shared" si="25"/>
        <v>1.1470588235294117</v>
      </c>
      <c r="AD47" s="56">
        <f>SUM(Y47:AC47)</f>
        <v>13</v>
      </c>
      <c r="AE47" s="43"/>
      <c r="AG47" s="42">
        <v>3</v>
      </c>
      <c r="AH47">
        <f t="shared" si="24"/>
        <v>0.38235294117647062</v>
      </c>
      <c r="AI47">
        <f t="shared" ref="AI47:AI48" si="26">(Q47-Z47)^2/Z47</f>
        <v>3.9107950872656803E-2</v>
      </c>
      <c r="AJ47">
        <f t="shared" ref="AJ47:AJ48" si="27">(R47-AA47)^2/AA47</f>
        <v>1.2597696421225874E-2</v>
      </c>
      <c r="AK47">
        <f t="shared" ref="AK47:AK48" si="28">(S47-AB47)^2/AB47</f>
        <v>0.6053717744894217</v>
      </c>
      <c r="AL47">
        <f t="shared" ref="AL47:AL48" si="29">(T47-AC47)^2/AC47</f>
        <v>1.1470588235294117</v>
      </c>
      <c r="AM47" s="54">
        <f>SUM(AH47:AL47)</f>
        <v>2.1864891864891867</v>
      </c>
      <c r="AN47" s="43"/>
      <c r="AP47" s="2" t="s">
        <v>206</v>
      </c>
      <c r="AQ47">
        <f>_xlfn.CHISQ.DIST.RT(AQ45,AQ44)</f>
        <v>0.8920434315664143</v>
      </c>
      <c r="AR47" t="s">
        <v>220</v>
      </c>
    </row>
    <row r="48" spans="1:44" ht="15.6" x14ac:dyDescent="0.3">
      <c r="A48">
        <v>3</v>
      </c>
      <c r="B48">
        <v>2</v>
      </c>
      <c r="C48">
        <v>2</v>
      </c>
      <c r="D48">
        <v>2</v>
      </c>
      <c r="E48">
        <v>2</v>
      </c>
      <c r="F48">
        <v>2</v>
      </c>
      <c r="G48">
        <v>3</v>
      </c>
      <c r="H48">
        <v>5</v>
      </c>
      <c r="I48">
        <v>5</v>
      </c>
      <c r="J48">
        <v>3</v>
      </c>
      <c r="K48">
        <v>2</v>
      </c>
      <c r="L48">
        <v>2</v>
      </c>
      <c r="O48" s="42">
        <v>4</v>
      </c>
      <c r="P48">
        <f>COUNTIFS($E$2:$E$137,"4",$J$2:$J$137,"1")</f>
        <v>1</v>
      </c>
      <c r="Q48">
        <f>COUNTIFS($E$2:$E$137,"4",$J$2:$J$137,"2")</f>
        <v>5</v>
      </c>
      <c r="R48">
        <f>COUNTIFS($E$2:$E$137,"4",$J$2:$J$137,"3")</f>
        <v>9</v>
      </c>
      <c r="S48">
        <f>COUNTIFS($E$2:$E$137,"4",$J$2:$J$137,"4")</f>
        <v>7</v>
      </c>
      <c r="T48">
        <f>COUNTIFS($E$2:$E$137,"4",$J$2:$J$137,"5")</f>
        <v>1</v>
      </c>
      <c r="U48" s="51">
        <f>SUM(P48:T48)</f>
        <v>23</v>
      </c>
      <c r="V48" s="43"/>
      <c r="X48" s="61">
        <v>4</v>
      </c>
      <c r="Y48">
        <f>$U48*P$49/$U$49</f>
        <v>0.67647058823529416</v>
      </c>
      <c r="Z48">
        <f t="shared" si="25"/>
        <v>4.7352941176470589</v>
      </c>
      <c r="AA48">
        <f t="shared" si="25"/>
        <v>9.3014705882352935</v>
      </c>
      <c r="AB48">
        <f t="shared" si="25"/>
        <v>6.257352941176471</v>
      </c>
      <c r="AC48">
        <f t="shared" si="25"/>
        <v>2.0294117647058822</v>
      </c>
      <c r="AD48" s="56">
        <f>SUM(Y48:AC48)</f>
        <v>23</v>
      </c>
      <c r="AE48" s="43"/>
      <c r="AG48" s="61">
        <v>4</v>
      </c>
      <c r="AH48">
        <f t="shared" si="24"/>
        <v>0.15473145780051148</v>
      </c>
      <c r="AI48">
        <f t="shared" si="26"/>
        <v>1.4797223237120931E-2</v>
      </c>
      <c r="AJ48">
        <f t="shared" si="27"/>
        <v>9.7709834922110744E-3</v>
      </c>
      <c r="AK48">
        <f t="shared" si="28"/>
        <v>8.8140250224649094E-2</v>
      </c>
      <c r="AL48">
        <f t="shared" si="29"/>
        <v>0.52216538789428801</v>
      </c>
      <c r="AM48" s="54">
        <f>SUM(AH48:AL48)</f>
        <v>0.78960530264878059</v>
      </c>
      <c r="AN48" s="43"/>
      <c r="AP48" t="s">
        <v>210</v>
      </c>
    </row>
    <row r="49" spans="1:44" ht="15.6" x14ac:dyDescent="0.3">
      <c r="A49">
        <v>2</v>
      </c>
      <c r="B49">
        <v>2</v>
      </c>
      <c r="C49">
        <v>1</v>
      </c>
      <c r="D49">
        <v>2</v>
      </c>
      <c r="E49">
        <v>1</v>
      </c>
      <c r="F49">
        <v>2</v>
      </c>
      <c r="G49">
        <v>3</v>
      </c>
      <c r="H49">
        <v>5</v>
      </c>
      <c r="I49">
        <v>4</v>
      </c>
      <c r="J49">
        <v>4</v>
      </c>
      <c r="K49">
        <v>3</v>
      </c>
      <c r="L49">
        <v>4</v>
      </c>
      <c r="O49" s="42"/>
      <c r="P49" s="54">
        <f>SUM(P45:P48)</f>
        <v>4</v>
      </c>
      <c r="Q49" s="54">
        <f t="shared" ref="Q49:T49" si="30">SUM(Q45:Q48)</f>
        <v>28</v>
      </c>
      <c r="R49" s="54">
        <f t="shared" si="30"/>
        <v>55</v>
      </c>
      <c r="S49" s="54">
        <f t="shared" si="30"/>
        <v>37</v>
      </c>
      <c r="T49" s="54">
        <f t="shared" si="30"/>
        <v>12</v>
      </c>
      <c r="U49" s="45">
        <f>SUM(U45:U48)</f>
        <v>136</v>
      </c>
      <c r="V49" s="43"/>
      <c r="X49" s="61"/>
      <c r="Y49" s="54">
        <f>SUM(Y45:Y48)</f>
        <v>4</v>
      </c>
      <c r="Z49" s="54">
        <f t="shared" ref="Z49:AC49" si="31">SUM(Z45:Z48)</f>
        <v>27.999999999999996</v>
      </c>
      <c r="AA49" s="54">
        <f t="shared" si="31"/>
        <v>55</v>
      </c>
      <c r="AB49" s="54">
        <f t="shared" si="31"/>
        <v>37</v>
      </c>
      <c r="AC49" s="54">
        <f t="shared" si="31"/>
        <v>12</v>
      </c>
      <c r="AD49" s="45">
        <f>SUM(AD45:AD48)</f>
        <v>136</v>
      </c>
      <c r="AE49" s="43"/>
      <c r="AG49" s="61"/>
      <c r="AH49" s="84">
        <f>SUM(AH45:AH48)</f>
        <v>2.6467892814156304</v>
      </c>
      <c r="AI49" s="84">
        <f t="shared" ref="AI49:AL49" si="32">SUM(AI45:AI48)</f>
        <v>0.22168671120251676</v>
      </c>
      <c r="AJ49" s="84">
        <f t="shared" si="32"/>
        <v>0.12521674748167128</v>
      </c>
      <c r="AK49" s="84">
        <f t="shared" si="32"/>
        <v>0.8835246954426802</v>
      </c>
      <c r="AL49" s="84">
        <f t="shared" si="32"/>
        <v>2.567223430538252</v>
      </c>
      <c r="AM49" s="45">
        <f>SUM(AM45:AM48)</f>
        <v>6.4444408660807504</v>
      </c>
      <c r="AN49" s="43"/>
      <c r="AP49" s="2" t="s">
        <v>299</v>
      </c>
      <c r="AQ49" s="50">
        <f>SQRT(AQ45/($AQ$9*$AQ$10))</f>
        <v>0.12567894891817924</v>
      </c>
      <c r="AR49" t="s">
        <v>337</v>
      </c>
    </row>
    <row r="50" spans="1:44" ht="15.6" x14ac:dyDescent="0.3">
      <c r="A50">
        <v>5</v>
      </c>
      <c r="B50">
        <v>2</v>
      </c>
      <c r="C50">
        <v>2</v>
      </c>
      <c r="D50">
        <v>5</v>
      </c>
      <c r="E50">
        <v>2</v>
      </c>
      <c r="F50">
        <v>3</v>
      </c>
      <c r="G50">
        <v>3</v>
      </c>
      <c r="H50">
        <v>3</v>
      </c>
      <c r="I50">
        <v>3</v>
      </c>
      <c r="J50">
        <v>2</v>
      </c>
      <c r="K50">
        <v>3</v>
      </c>
      <c r="L50">
        <v>3</v>
      </c>
      <c r="O50" s="42"/>
      <c r="U50" s="51"/>
      <c r="V50" s="43"/>
      <c r="X50" s="61"/>
      <c r="AD50" s="43"/>
      <c r="AE50" s="43"/>
      <c r="AG50" s="61"/>
      <c r="AM50" s="45"/>
      <c r="AN50" s="43"/>
    </row>
    <row r="51" spans="1:44" ht="18" x14ac:dyDescent="0.35">
      <c r="A51">
        <v>5</v>
      </c>
      <c r="B51">
        <v>2</v>
      </c>
      <c r="C51">
        <v>1</v>
      </c>
      <c r="D51">
        <v>4</v>
      </c>
      <c r="E51">
        <v>1</v>
      </c>
      <c r="F51">
        <v>2</v>
      </c>
      <c r="G51">
        <v>4</v>
      </c>
      <c r="H51">
        <v>3</v>
      </c>
      <c r="I51">
        <v>3</v>
      </c>
      <c r="J51">
        <v>3</v>
      </c>
      <c r="K51">
        <v>3</v>
      </c>
      <c r="L51">
        <v>2</v>
      </c>
      <c r="P51" s="43"/>
      <c r="Q51" s="43"/>
      <c r="R51" s="43"/>
      <c r="S51" s="43"/>
      <c r="T51" s="43"/>
      <c r="U51" s="45"/>
      <c r="V51" s="46"/>
      <c r="Y51" s="43"/>
      <c r="Z51" s="43"/>
      <c r="AA51" s="43"/>
      <c r="AB51" s="43"/>
      <c r="AC51" s="43"/>
      <c r="AD51" s="48"/>
      <c r="AE51" s="43"/>
      <c r="AH51" s="48"/>
      <c r="AI51" s="48"/>
      <c r="AJ51" s="48"/>
      <c r="AK51" s="48"/>
      <c r="AL51" s="48"/>
      <c r="AM51" s="46"/>
      <c r="AN51" s="43"/>
    </row>
    <row r="52" spans="1:44" x14ac:dyDescent="0.3">
      <c r="A52">
        <v>3</v>
      </c>
      <c r="B52">
        <v>2</v>
      </c>
      <c r="C52">
        <v>1</v>
      </c>
      <c r="D52">
        <v>2</v>
      </c>
      <c r="E52">
        <v>2</v>
      </c>
      <c r="F52">
        <v>2</v>
      </c>
      <c r="G52">
        <v>3</v>
      </c>
      <c r="H52">
        <v>4</v>
      </c>
      <c r="I52">
        <v>5</v>
      </c>
      <c r="J52">
        <v>2</v>
      </c>
      <c r="K52">
        <v>5</v>
      </c>
      <c r="L52">
        <v>4</v>
      </c>
    </row>
    <row r="53" spans="1:44" x14ac:dyDescent="0.3">
      <c r="A53">
        <v>3</v>
      </c>
      <c r="B53">
        <v>2</v>
      </c>
      <c r="C53">
        <v>2</v>
      </c>
      <c r="D53">
        <v>2</v>
      </c>
      <c r="E53">
        <v>2</v>
      </c>
      <c r="F53">
        <v>2</v>
      </c>
      <c r="G53">
        <v>3</v>
      </c>
      <c r="H53">
        <v>3</v>
      </c>
      <c r="I53">
        <v>5</v>
      </c>
      <c r="J53">
        <v>3</v>
      </c>
      <c r="K53">
        <v>3</v>
      </c>
      <c r="L53">
        <v>3</v>
      </c>
    </row>
    <row r="54" spans="1:44" x14ac:dyDescent="0.3">
      <c r="A54">
        <v>5</v>
      </c>
      <c r="B54">
        <v>2</v>
      </c>
      <c r="C54">
        <v>1</v>
      </c>
      <c r="D54">
        <v>4</v>
      </c>
      <c r="E54">
        <v>1</v>
      </c>
      <c r="F54">
        <v>2</v>
      </c>
      <c r="G54">
        <v>4</v>
      </c>
      <c r="H54">
        <v>5</v>
      </c>
      <c r="I54">
        <v>4</v>
      </c>
      <c r="J54">
        <v>4</v>
      </c>
      <c r="K54">
        <v>4</v>
      </c>
      <c r="L54">
        <v>4</v>
      </c>
    </row>
    <row r="55" spans="1:44" x14ac:dyDescent="0.3">
      <c r="A55">
        <v>3</v>
      </c>
      <c r="B55">
        <v>2</v>
      </c>
      <c r="C55">
        <v>1</v>
      </c>
      <c r="D55">
        <v>2</v>
      </c>
      <c r="E55">
        <v>1</v>
      </c>
      <c r="F55">
        <v>2</v>
      </c>
      <c r="G55">
        <v>3</v>
      </c>
      <c r="H55">
        <v>5</v>
      </c>
      <c r="I55">
        <v>4</v>
      </c>
      <c r="J55">
        <v>3</v>
      </c>
      <c r="K55">
        <v>3</v>
      </c>
      <c r="L55">
        <v>4</v>
      </c>
    </row>
    <row r="56" spans="1:44" x14ac:dyDescent="0.3">
      <c r="A56">
        <v>5</v>
      </c>
      <c r="B56">
        <v>2</v>
      </c>
      <c r="C56">
        <v>2</v>
      </c>
      <c r="D56">
        <v>5</v>
      </c>
      <c r="E56">
        <v>4</v>
      </c>
      <c r="F56">
        <v>2</v>
      </c>
      <c r="G56">
        <v>3</v>
      </c>
      <c r="H56">
        <v>4</v>
      </c>
      <c r="I56">
        <v>4</v>
      </c>
      <c r="J56">
        <v>2</v>
      </c>
      <c r="K56">
        <v>3</v>
      </c>
      <c r="L56">
        <v>3</v>
      </c>
    </row>
    <row r="57" spans="1:44" x14ac:dyDescent="0.3">
      <c r="A57">
        <v>3</v>
      </c>
      <c r="B57">
        <v>2</v>
      </c>
      <c r="C57">
        <v>2</v>
      </c>
      <c r="D57">
        <v>1</v>
      </c>
      <c r="E57">
        <v>2</v>
      </c>
      <c r="F57">
        <v>3</v>
      </c>
      <c r="G57">
        <v>2</v>
      </c>
      <c r="H57">
        <v>3</v>
      </c>
      <c r="I57">
        <v>4</v>
      </c>
      <c r="J57">
        <v>2</v>
      </c>
      <c r="K57">
        <v>3</v>
      </c>
      <c r="L57">
        <v>3</v>
      </c>
      <c r="P57" s="106" t="s">
        <v>346</v>
      </c>
      <c r="Q57" s="106"/>
      <c r="R57" s="106"/>
      <c r="S57" s="106"/>
      <c r="T57" s="106"/>
      <c r="U57" s="106"/>
      <c r="Y57" s="106" t="s">
        <v>364</v>
      </c>
      <c r="Z57" s="106"/>
      <c r="AA57" s="106"/>
      <c r="AB57" s="106"/>
      <c r="AC57" s="106"/>
      <c r="AD57" s="106"/>
      <c r="AG57" s="63"/>
      <c r="AH57" s="106" t="s">
        <v>356</v>
      </c>
      <c r="AI57" s="106"/>
      <c r="AJ57" s="106"/>
      <c r="AK57" s="106"/>
      <c r="AL57" s="106"/>
      <c r="AM57" s="106"/>
      <c r="AN57" s="106"/>
      <c r="AP57" s="2" t="s">
        <v>204</v>
      </c>
      <c r="AQ57">
        <v>0.05</v>
      </c>
    </row>
    <row r="58" spans="1:44" ht="15.6" x14ac:dyDescent="0.3">
      <c r="A58">
        <v>2</v>
      </c>
      <c r="B58">
        <v>2</v>
      </c>
      <c r="C58">
        <v>2</v>
      </c>
      <c r="D58">
        <v>1</v>
      </c>
      <c r="E58">
        <v>2</v>
      </c>
      <c r="F58">
        <v>2</v>
      </c>
      <c r="G58">
        <v>4</v>
      </c>
      <c r="H58">
        <v>4</v>
      </c>
      <c r="I58">
        <v>5</v>
      </c>
      <c r="J58">
        <v>3</v>
      </c>
      <c r="K58">
        <v>5</v>
      </c>
      <c r="L58">
        <v>4</v>
      </c>
      <c r="O58" s="11" t="s">
        <v>7</v>
      </c>
      <c r="P58" s="10">
        <v>1</v>
      </c>
      <c r="Q58" s="10">
        <v>2</v>
      </c>
      <c r="R58" s="10">
        <v>3</v>
      </c>
      <c r="S58" s="10">
        <v>4</v>
      </c>
      <c r="T58" s="10">
        <v>5</v>
      </c>
      <c r="U58" s="10"/>
      <c r="V58" s="44"/>
      <c r="X58" s="11" t="s">
        <v>7</v>
      </c>
      <c r="Y58" s="10">
        <v>1</v>
      </c>
      <c r="Z58" s="10">
        <v>2</v>
      </c>
      <c r="AA58" s="10">
        <v>3</v>
      </c>
      <c r="AB58" s="10">
        <v>4</v>
      </c>
      <c r="AC58" s="10">
        <v>5</v>
      </c>
      <c r="AD58" s="10"/>
      <c r="AG58" s="11" t="s">
        <v>7</v>
      </c>
      <c r="AH58" s="10">
        <v>1</v>
      </c>
      <c r="AI58" s="10">
        <v>2</v>
      </c>
      <c r="AJ58" s="10">
        <v>3</v>
      </c>
      <c r="AK58" s="10">
        <v>4</v>
      </c>
      <c r="AL58" s="10">
        <v>5</v>
      </c>
      <c r="AM58" s="10"/>
      <c r="AP58" s="2" t="s">
        <v>205</v>
      </c>
      <c r="AQ58">
        <f>4*3</f>
        <v>12</v>
      </c>
    </row>
    <row r="59" spans="1:44" ht="15.6" x14ac:dyDescent="0.3">
      <c r="A59">
        <v>2</v>
      </c>
      <c r="B59">
        <v>2</v>
      </c>
      <c r="C59">
        <v>1</v>
      </c>
      <c r="D59">
        <v>2</v>
      </c>
      <c r="E59">
        <v>1</v>
      </c>
      <c r="F59">
        <v>2</v>
      </c>
      <c r="G59">
        <v>3</v>
      </c>
      <c r="H59">
        <v>4</v>
      </c>
      <c r="I59">
        <v>5</v>
      </c>
      <c r="J59">
        <v>3</v>
      </c>
      <c r="K59">
        <v>5</v>
      </c>
      <c r="L59">
        <v>2</v>
      </c>
      <c r="O59" s="42">
        <v>1</v>
      </c>
      <c r="P59">
        <f>COUNTIFS($E$2:$E$137,"1",$K$2:$K$137,"1")</f>
        <v>0</v>
      </c>
      <c r="Q59">
        <f>COUNTIFS($E$2:$E$137,"1",$K$2:$K$137,"2")</f>
        <v>3</v>
      </c>
      <c r="R59">
        <f>COUNTIFS($E$2:$E$137,"1",$K$2:$K$137,"3")</f>
        <v>7</v>
      </c>
      <c r="S59">
        <f>COUNTIFS($E$2:$E$137,"1",$K$2:$K$137,"4")</f>
        <v>9</v>
      </c>
      <c r="T59">
        <f>COUNTIFS($E$2:$E$137,"1",$K$2:$K$137,"5")</f>
        <v>10</v>
      </c>
      <c r="U59" s="51">
        <f>SUM(P59:T59)</f>
        <v>29</v>
      </c>
      <c r="V59" s="43"/>
      <c r="X59" s="42">
        <v>1</v>
      </c>
      <c r="Y59">
        <f>$U59*P$63/$U$63</f>
        <v>0</v>
      </c>
      <c r="Z59">
        <f>$U59*Q$63/$U$63</f>
        <v>3.625</v>
      </c>
      <c r="AA59">
        <f>$U59*R$63/$U$63</f>
        <v>5.9705882352941178</v>
      </c>
      <c r="AB59">
        <f>$U59*S$63/$U$63</f>
        <v>13.433823529411764</v>
      </c>
      <c r="AC59">
        <f>$U59*T$63/$U$63</f>
        <v>5.9705882352941178</v>
      </c>
      <c r="AD59" s="56">
        <f>SUM(Y59:AC59)</f>
        <v>29</v>
      </c>
      <c r="AE59" s="52"/>
      <c r="AG59" s="42">
        <v>1</v>
      </c>
      <c r="AH59">
        <v>0</v>
      </c>
      <c r="AI59">
        <f>((Q59-Z59)^2)/Z59</f>
        <v>0.10775862068965517</v>
      </c>
      <c r="AJ59">
        <f t="shared" ref="AJ59:AL59" si="33">((R59-AA59)^2)/AA59</f>
        <v>0.17748478701825554</v>
      </c>
      <c r="AK59">
        <f t="shared" si="33"/>
        <v>1.4633801796580701</v>
      </c>
      <c r="AL59">
        <f t="shared" si="33"/>
        <v>2.7193567082005217</v>
      </c>
      <c r="AM59" s="54">
        <f>SUM(AH59:AL59)</f>
        <v>4.4679802955665027</v>
      </c>
      <c r="AP59" s="2" t="s">
        <v>202</v>
      </c>
      <c r="AQ59" s="10">
        <f>SUM(AH59:AL62)</f>
        <v>9.7986196500882841</v>
      </c>
    </row>
    <row r="60" spans="1:44" ht="15.6" x14ac:dyDescent="0.3">
      <c r="A60">
        <v>3</v>
      </c>
      <c r="B60">
        <v>2</v>
      </c>
      <c r="C60">
        <v>2</v>
      </c>
      <c r="D60">
        <v>2</v>
      </c>
      <c r="E60">
        <v>2</v>
      </c>
      <c r="F60">
        <v>2</v>
      </c>
      <c r="G60">
        <v>3</v>
      </c>
      <c r="H60">
        <v>4</v>
      </c>
      <c r="I60">
        <v>4</v>
      </c>
      <c r="J60">
        <v>3</v>
      </c>
      <c r="K60">
        <v>3</v>
      </c>
      <c r="L60">
        <v>3</v>
      </c>
      <c r="O60" s="42">
        <v>2</v>
      </c>
      <c r="P60">
        <f>COUNTIFS($E$2:$E$137,"2",$K$2:$K$137,"1")</f>
        <v>0</v>
      </c>
      <c r="Q60">
        <f>COUNTIFS($E$2:$E$137,"2",$K$2:$K$137,"2")</f>
        <v>9</v>
      </c>
      <c r="R60">
        <f>COUNTIFS($E$2:$E$137,"2",$K$2:$K$137,"3")</f>
        <v>12</v>
      </c>
      <c r="S60">
        <f>COUNTIFS($E$2:$E$137,"2",$K$2:$K$137,"4")</f>
        <v>36</v>
      </c>
      <c r="T60">
        <f>COUNTIFS($E$2:$E$137,"2",$K$2:$K$137,"5")</f>
        <v>14</v>
      </c>
      <c r="U60" s="51">
        <f>SUM(P60:T60)</f>
        <v>71</v>
      </c>
      <c r="V60" s="43"/>
      <c r="X60" s="42">
        <v>2</v>
      </c>
      <c r="Y60">
        <f t="shared" ref="Y60:Y62" si="34">$U60*P$63/$U$63</f>
        <v>0</v>
      </c>
      <c r="Z60">
        <f t="shared" ref="Z60:AC61" si="35">$U60*Q$63/$U$63</f>
        <v>8.875</v>
      </c>
      <c r="AA60">
        <f t="shared" si="35"/>
        <v>14.617647058823529</v>
      </c>
      <c r="AB60">
        <f t="shared" si="35"/>
        <v>32.889705882352942</v>
      </c>
      <c r="AC60">
        <f t="shared" si="35"/>
        <v>14.617647058823529</v>
      </c>
      <c r="AD60" s="56">
        <f>SUM(Y60:AC60)</f>
        <v>71</v>
      </c>
      <c r="AE60" s="43"/>
      <c r="AG60" s="42">
        <v>2</v>
      </c>
      <c r="AH60" s="49">
        <v>0</v>
      </c>
      <c r="AI60">
        <f t="shared" ref="AI60:AI62" si="36">((Q60-Z60)^2)/Z60</f>
        <v>1.7605633802816902E-3</v>
      </c>
      <c r="AJ60">
        <f t="shared" ref="AJ60:AL61" si="37">(R60-AA60)^2/AA60</f>
        <v>0.4687536986625635</v>
      </c>
      <c r="AK60">
        <f t="shared" si="37"/>
        <v>0.29413244170907782</v>
      </c>
      <c r="AL60">
        <f t="shared" si="37"/>
        <v>2.6097763048881489E-2</v>
      </c>
      <c r="AM60" s="54">
        <f>SUM(AH60:AL60)</f>
        <v>0.79074446680080446</v>
      </c>
      <c r="AN60" s="44"/>
      <c r="AP60" s="2" t="s">
        <v>203</v>
      </c>
      <c r="AQ60" s="50">
        <v>21.03</v>
      </c>
    </row>
    <row r="61" spans="1:44" ht="15.6" x14ac:dyDescent="0.3">
      <c r="A61">
        <v>4</v>
      </c>
      <c r="B61">
        <v>2</v>
      </c>
      <c r="C61">
        <v>1</v>
      </c>
      <c r="D61">
        <v>4</v>
      </c>
      <c r="E61">
        <v>1</v>
      </c>
      <c r="F61">
        <v>2</v>
      </c>
      <c r="G61">
        <v>4</v>
      </c>
      <c r="H61">
        <v>4</v>
      </c>
      <c r="I61">
        <v>5</v>
      </c>
      <c r="J61">
        <v>2</v>
      </c>
      <c r="K61">
        <v>4</v>
      </c>
      <c r="L61">
        <v>4</v>
      </c>
      <c r="O61" s="42">
        <v>3</v>
      </c>
      <c r="P61">
        <f>COUNTIFS($E$2:$E$137,"3",$K$2:$K$137,"1")</f>
        <v>0</v>
      </c>
      <c r="Q61">
        <f>COUNTIFS($E$2:$E$137,"3",$K$2:$K$137,"2")</f>
        <v>3</v>
      </c>
      <c r="R61">
        <f>COUNTIFS($E$2:$E$137,"3",$K$2:$K$137,"3")</f>
        <v>2</v>
      </c>
      <c r="S61">
        <f>COUNTIFS($E$2:$E$137,"3",$K$2:$K$137,"4")</f>
        <v>7</v>
      </c>
      <c r="T61">
        <f>COUNTIFS($E$2:$E$137,"3",$K$2:$K$137,"5")</f>
        <v>1</v>
      </c>
      <c r="U61" s="51">
        <f>SUM(P61:T61)</f>
        <v>13</v>
      </c>
      <c r="V61" s="43"/>
      <c r="X61">
        <v>3</v>
      </c>
      <c r="Y61">
        <f t="shared" si="34"/>
        <v>0</v>
      </c>
      <c r="Z61">
        <f t="shared" si="35"/>
        <v>1.625</v>
      </c>
      <c r="AA61">
        <f t="shared" si="35"/>
        <v>2.6764705882352939</v>
      </c>
      <c r="AB61">
        <f t="shared" si="35"/>
        <v>6.0220588235294121</v>
      </c>
      <c r="AC61">
        <f t="shared" si="35"/>
        <v>2.6764705882352939</v>
      </c>
      <c r="AD61" s="56">
        <f>SUM(Y61:AC61)</f>
        <v>13</v>
      </c>
      <c r="AE61" s="43"/>
      <c r="AG61" s="42">
        <v>3</v>
      </c>
      <c r="AH61" s="49">
        <v>0</v>
      </c>
      <c r="AI61">
        <f t="shared" si="36"/>
        <v>1.1634615384615385</v>
      </c>
      <c r="AJ61">
        <f t="shared" si="37"/>
        <v>0.17097608274078854</v>
      </c>
      <c r="AK61">
        <f t="shared" si="37"/>
        <v>0.15881096028154837</v>
      </c>
      <c r="AL61">
        <f t="shared" si="37"/>
        <v>1.0500969618616676</v>
      </c>
      <c r="AM61" s="54">
        <f>SUM(AH61:AL61)</f>
        <v>2.5433455433455432</v>
      </c>
      <c r="AN61" s="43"/>
      <c r="AP61" s="2" t="s">
        <v>206</v>
      </c>
      <c r="AQ61">
        <f>_xlfn.CHISQ.DIST.RT(AQ59,AQ58)</f>
        <v>0.63362246514085008</v>
      </c>
      <c r="AR61" t="s">
        <v>224</v>
      </c>
    </row>
    <row r="62" spans="1:44" ht="15.6" x14ac:dyDescent="0.3">
      <c r="A62">
        <v>5</v>
      </c>
      <c r="B62">
        <v>2</v>
      </c>
      <c r="C62">
        <v>1</v>
      </c>
      <c r="D62">
        <v>5</v>
      </c>
      <c r="E62">
        <v>1</v>
      </c>
      <c r="F62">
        <v>2</v>
      </c>
      <c r="G62">
        <v>5</v>
      </c>
      <c r="H62">
        <v>5</v>
      </c>
      <c r="I62">
        <v>4</v>
      </c>
      <c r="J62">
        <v>3</v>
      </c>
      <c r="K62">
        <v>4</v>
      </c>
      <c r="L62">
        <v>1</v>
      </c>
      <c r="O62" s="42">
        <v>4</v>
      </c>
      <c r="P62">
        <f>COUNTIFS($E$2:$E$137,"4",$K$2:$K$137,"1")</f>
        <v>0</v>
      </c>
      <c r="Q62">
        <f>COUNTIFS($E$2:$E$137,"4",$K$2:$K$137,"2")</f>
        <v>2</v>
      </c>
      <c r="R62">
        <f>COUNTIFS($E$2:$E$137,"4",$K$2:$K$137,"3")</f>
        <v>7</v>
      </c>
      <c r="S62">
        <f>COUNTIFS($E$2:$E$137,"4",$K$2:$K$137,"4")</f>
        <v>11</v>
      </c>
      <c r="T62">
        <f>COUNTIFS($E$2:$E$137,"4",$K$2:$K$137,"5")</f>
        <v>3</v>
      </c>
      <c r="U62" s="51">
        <f>SUM(P62:T62)</f>
        <v>23</v>
      </c>
      <c r="V62" s="43"/>
      <c r="X62" s="42">
        <v>4</v>
      </c>
      <c r="Y62">
        <f t="shared" si="34"/>
        <v>0</v>
      </c>
      <c r="Z62">
        <f t="shared" ref="Z62" si="38">$U62*Q$63/$U$63</f>
        <v>2.875</v>
      </c>
      <c r="AA62">
        <f t="shared" ref="AA62" si="39">$U62*R$63/$U$63</f>
        <v>4.7352941176470589</v>
      </c>
      <c r="AB62">
        <f t="shared" ref="AB62" si="40">$U62*S$63/$U$63</f>
        <v>10.654411764705882</v>
      </c>
      <c r="AC62">
        <f t="shared" ref="AC62" si="41">$U62*T$63/$U$63</f>
        <v>4.7352941176470589</v>
      </c>
      <c r="AD62" s="56">
        <f>SUM(Y62:AC62)</f>
        <v>23</v>
      </c>
      <c r="AE62" s="43"/>
      <c r="AG62" s="61">
        <v>4</v>
      </c>
      <c r="AH62" s="49">
        <v>0</v>
      </c>
      <c r="AI62">
        <f t="shared" si="36"/>
        <v>0.26630434782608697</v>
      </c>
      <c r="AJ62">
        <f t="shared" ref="AJ62" si="42">((R62-AA62)^2)/AA62</f>
        <v>1.0831202046035804</v>
      </c>
      <c r="AK62">
        <f t="shared" ref="AK62" si="43">((S62-AB62)^2)/AB62</f>
        <v>1.1209556286282637E-2</v>
      </c>
      <c r="AL62">
        <f t="shared" ref="AL62" si="44">((T62-AC62)^2)/AC62</f>
        <v>0.63591523565948116</v>
      </c>
      <c r="AM62" s="54">
        <f>SUM(AH62:AL62)</f>
        <v>1.9965493443754312</v>
      </c>
      <c r="AN62" s="43"/>
      <c r="AP62" t="s">
        <v>338</v>
      </c>
    </row>
    <row r="63" spans="1:44" ht="15.6" x14ac:dyDescent="0.3">
      <c r="A63">
        <v>2</v>
      </c>
      <c r="B63">
        <v>2</v>
      </c>
      <c r="C63">
        <v>1</v>
      </c>
      <c r="D63">
        <v>2</v>
      </c>
      <c r="E63">
        <v>1</v>
      </c>
      <c r="F63">
        <v>3</v>
      </c>
      <c r="G63">
        <v>2</v>
      </c>
      <c r="H63">
        <v>5</v>
      </c>
      <c r="I63">
        <v>3</v>
      </c>
      <c r="J63">
        <v>3</v>
      </c>
      <c r="K63">
        <v>4</v>
      </c>
      <c r="L63">
        <v>2</v>
      </c>
      <c r="O63" s="42"/>
      <c r="P63" s="54">
        <f>SUM(P59:P62)</f>
        <v>0</v>
      </c>
      <c r="Q63" s="54">
        <f t="shared" ref="Q63:U63" si="45">SUM(Q59:Q62)</f>
        <v>17</v>
      </c>
      <c r="R63" s="54">
        <f t="shared" si="45"/>
        <v>28</v>
      </c>
      <c r="S63" s="54">
        <f t="shared" si="45"/>
        <v>63</v>
      </c>
      <c r="T63" s="54">
        <f t="shared" si="45"/>
        <v>28</v>
      </c>
      <c r="U63" s="45">
        <f t="shared" si="45"/>
        <v>136</v>
      </c>
      <c r="V63" s="43"/>
      <c r="X63" s="42"/>
      <c r="Y63" s="51">
        <f>SUM(Y59:Y62)</f>
        <v>0</v>
      </c>
      <c r="Z63" s="51">
        <f t="shared" ref="Z63:AC63" si="46">SUM(Z59:Z62)</f>
        <v>17</v>
      </c>
      <c r="AA63" s="51">
        <f t="shared" si="46"/>
        <v>27.999999999999996</v>
      </c>
      <c r="AB63" s="51">
        <f t="shared" si="46"/>
        <v>63.000000000000007</v>
      </c>
      <c r="AC63" s="51">
        <f t="shared" si="46"/>
        <v>27.999999999999996</v>
      </c>
      <c r="AD63" s="45">
        <f>SUM(AD59:AD62)</f>
        <v>136</v>
      </c>
      <c r="AE63" s="43"/>
      <c r="AG63" s="61"/>
      <c r="AH63" s="54">
        <f>SUM(AH59:AH62)</f>
        <v>0</v>
      </c>
      <c r="AI63" s="54">
        <f t="shared" ref="AI63:AL63" si="47">SUM(AI59:AI62)</f>
        <v>1.5392850703575622</v>
      </c>
      <c r="AJ63" s="54">
        <f t="shared" si="47"/>
        <v>1.9003347730251878</v>
      </c>
      <c r="AK63" s="54">
        <f t="shared" si="47"/>
        <v>1.9275331379349789</v>
      </c>
      <c r="AL63" s="54">
        <f t="shared" si="47"/>
        <v>4.4314666687705522</v>
      </c>
      <c r="AM63" s="45">
        <f>SUM(AM59:AM62)</f>
        <v>9.7986196500882805</v>
      </c>
      <c r="AN63" s="43"/>
      <c r="AP63" s="2" t="s">
        <v>299</v>
      </c>
      <c r="AQ63" s="50">
        <f>SQRT(AQ59/($AQ$9*$AQ$10))</f>
        <v>0.154971689777744</v>
      </c>
      <c r="AR63" t="s">
        <v>337</v>
      </c>
    </row>
    <row r="64" spans="1:44" ht="15.6" x14ac:dyDescent="0.3">
      <c r="A64">
        <v>5</v>
      </c>
      <c r="B64">
        <v>2</v>
      </c>
      <c r="C64">
        <v>3</v>
      </c>
      <c r="D64">
        <v>4</v>
      </c>
      <c r="E64">
        <v>3</v>
      </c>
      <c r="F64">
        <v>2</v>
      </c>
      <c r="G64">
        <v>4</v>
      </c>
      <c r="H64">
        <v>4</v>
      </c>
      <c r="I64">
        <v>5</v>
      </c>
      <c r="J64">
        <v>4</v>
      </c>
      <c r="K64">
        <v>4</v>
      </c>
      <c r="L64">
        <v>5</v>
      </c>
      <c r="O64" s="42"/>
      <c r="U64" s="53"/>
      <c r="V64" s="43"/>
      <c r="X64" s="42"/>
      <c r="AD64" s="43"/>
      <c r="AE64" s="43"/>
      <c r="AG64" s="61"/>
      <c r="AH64" s="49"/>
      <c r="AM64" s="45"/>
      <c r="AN64" s="43"/>
    </row>
    <row r="65" spans="1:44" ht="18" x14ac:dyDescent="0.35">
      <c r="A65">
        <v>2</v>
      </c>
      <c r="B65">
        <v>2</v>
      </c>
      <c r="C65">
        <v>2</v>
      </c>
      <c r="D65">
        <v>1</v>
      </c>
      <c r="E65">
        <v>2</v>
      </c>
      <c r="F65">
        <v>2</v>
      </c>
      <c r="G65">
        <v>4</v>
      </c>
      <c r="H65">
        <v>5</v>
      </c>
      <c r="I65">
        <v>5</v>
      </c>
      <c r="J65">
        <v>3</v>
      </c>
      <c r="K65">
        <v>5</v>
      </c>
      <c r="L65">
        <v>4</v>
      </c>
      <c r="P65" s="43"/>
      <c r="Q65" s="43"/>
      <c r="R65" s="43"/>
      <c r="S65" s="43"/>
      <c r="T65" s="43"/>
      <c r="U65" s="48"/>
      <c r="V65" s="46"/>
      <c r="X65" s="42"/>
      <c r="AD65" s="43"/>
      <c r="AE65" s="43"/>
      <c r="AG65" s="61"/>
      <c r="AH65" s="49"/>
      <c r="AM65" s="45"/>
      <c r="AN65" s="43"/>
      <c r="AP65" s="2"/>
      <c r="AQ65" s="50"/>
    </row>
    <row r="66" spans="1:44" ht="18" x14ac:dyDescent="0.35">
      <c r="A66">
        <v>2</v>
      </c>
      <c r="B66">
        <v>2</v>
      </c>
      <c r="C66">
        <v>2</v>
      </c>
      <c r="D66">
        <v>1</v>
      </c>
      <c r="E66">
        <v>2</v>
      </c>
      <c r="F66">
        <v>2</v>
      </c>
      <c r="G66">
        <v>4</v>
      </c>
      <c r="H66">
        <v>5</v>
      </c>
      <c r="I66">
        <v>5</v>
      </c>
      <c r="J66">
        <v>3</v>
      </c>
      <c r="K66">
        <v>5</v>
      </c>
      <c r="L66">
        <v>3</v>
      </c>
      <c r="Y66" s="43"/>
      <c r="Z66" s="43"/>
      <c r="AA66" s="43"/>
      <c r="AB66" s="43"/>
      <c r="AC66" s="43"/>
      <c r="AD66" s="48"/>
      <c r="AE66" s="43"/>
      <c r="AH66" s="48"/>
      <c r="AI66" s="48"/>
      <c r="AJ66" s="48"/>
      <c r="AK66" s="48"/>
      <c r="AL66" s="48"/>
      <c r="AM66" s="46"/>
      <c r="AN66" s="43"/>
    </row>
    <row r="67" spans="1:44" x14ac:dyDescent="0.3">
      <c r="A67">
        <v>3</v>
      </c>
      <c r="B67">
        <v>2</v>
      </c>
      <c r="C67">
        <v>2</v>
      </c>
      <c r="D67">
        <v>2</v>
      </c>
      <c r="E67">
        <v>2</v>
      </c>
      <c r="F67">
        <v>2</v>
      </c>
      <c r="G67">
        <v>4</v>
      </c>
      <c r="H67">
        <v>5</v>
      </c>
      <c r="I67">
        <v>3</v>
      </c>
      <c r="J67">
        <v>2</v>
      </c>
      <c r="K67">
        <v>4</v>
      </c>
      <c r="L67">
        <v>3</v>
      </c>
    </row>
    <row r="68" spans="1:44" x14ac:dyDescent="0.3">
      <c r="A68">
        <v>4</v>
      </c>
      <c r="B68">
        <v>2</v>
      </c>
      <c r="C68">
        <v>2</v>
      </c>
      <c r="D68">
        <v>4</v>
      </c>
      <c r="E68">
        <v>2</v>
      </c>
      <c r="F68">
        <v>2</v>
      </c>
      <c r="G68">
        <v>4</v>
      </c>
      <c r="H68">
        <v>5</v>
      </c>
      <c r="I68">
        <v>4</v>
      </c>
      <c r="J68">
        <v>3</v>
      </c>
      <c r="K68">
        <v>4</v>
      </c>
      <c r="L68">
        <v>5</v>
      </c>
    </row>
    <row r="69" spans="1:44" x14ac:dyDescent="0.3">
      <c r="A69">
        <v>4</v>
      </c>
      <c r="B69">
        <v>2</v>
      </c>
      <c r="C69">
        <v>2</v>
      </c>
      <c r="D69">
        <v>1</v>
      </c>
      <c r="E69">
        <v>3</v>
      </c>
      <c r="F69">
        <v>2</v>
      </c>
      <c r="G69">
        <v>4</v>
      </c>
      <c r="H69">
        <v>4</v>
      </c>
      <c r="I69">
        <v>3</v>
      </c>
      <c r="J69">
        <v>4</v>
      </c>
      <c r="K69">
        <v>3</v>
      </c>
      <c r="L69">
        <v>2</v>
      </c>
    </row>
    <row r="70" spans="1:44" x14ac:dyDescent="0.3">
      <c r="A70">
        <v>2</v>
      </c>
      <c r="B70">
        <v>2</v>
      </c>
      <c r="C70">
        <v>2</v>
      </c>
      <c r="D70">
        <v>1</v>
      </c>
      <c r="E70">
        <v>2</v>
      </c>
      <c r="F70">
        <v>3</v>
      </c>
      <c r="G70">
        <v>5</v>
      </c>
      <c r="H70">
        <v>5</v>
      </c>
      <c r="I70">
        <v>4</v>
      </c>
      <c r="J70">
        <v>3</v>
      </c>
      <c r="K70">
        <v>5</v>
      </c>
      <c r="L70">
        <v>4</v>
      </c>
    </row>
    <row r="71" spans="1:44" x14ac:dyDescent="0.3">
      <c r="A71">
        <v>5</v>
      </c>
      <c r="B71">
        <v>2</v>
      </c>
      <c r="C71">
        <v>1</v>
      </c>
      <c r="D71">
        <v>5</v>
      </c>
      <c r="E71">
        <v>1</v>
      </c>
      <c r="F71">
        <v>2</v>
      </c>
      <c r="G71">
        <v>4</v>
      </c>
      <c r="H71">
        <v>5</v>
      </c>
      <c r="I71">
        <v>5</v>
      </c>
      <c r="J71">
        <v>4</v>
      </c>
      <c r="K71">
        <v>4</v>
      </c>
      <c r="L71">
        <v>4</v>
      </c>
      <c r="P71" s="106" t="s">
        <v>347</v>
      </c>
      <c r="Q71" s="106"/>
      <c r="R71" s="106"/>
      <c r="S71" s="106"/>
      <c r="T71" s="106"/>
      <c r="U71" s="106"/>
      <c r="Y71" s="106" t="s">
        <v>365</v>
      </c>
      <c r="Z71" s="106"/>
      <c r="AA71" s="106"/>
      <c r="AB71" s="106"/>
      <c r="AC71" s="106"/>
      <c r="AD71" s="106"/>
      <c r="AG71" s="63"/>
      <c r="AH71" s="106" t="s">
        <v>357</v>
      </c>
      <c r="AI71" s="106"/>
      <c r="AJ71" s="106"/>
      <c r="AK71" s="106"/>
      <c r="AL71" s="106"/>
      <c r="AM71" s="106"/>
      <c r="AN71" s="106"/>
      <c r="AP71" s="2" t="s">
        <v>204</v>
      </c>
      <c r="AQ71">
        <v>0.05</v>
      </c>
    </row>
    <row r="72" spans="1:44" ht="15.6" x14ac:dyDescent="0.3">
      <c r="A72">
        <v>3</v>
      </c>
      <c r="B72">
        <v>2</v>
      </c>
      <c r="C72">
        <v>2</v>
      </c>
      <c r="D72">
        <v>2</v>
      </c>
      <c r="E72">
        <v>2</v>
      </c>
      <c r="F72">
        <v>2</v>
      </c>
      <c r="G72">
        <v>4</v>
      </c>
      <c r="H72">
        <v>4</v>
      </c>
      <c r="I72">
        <v>4</v>
      </c>
      <c r="J72">
        <v>3</v>
      </c>
      <c r="K72">
        <v>4</v>
      </c>
      <c r="L72">
        <v>3</v>
      </c>
      <c r="O72" s="11" t="s">
        <v>7</v>
      </c>
      <c r="P72" s="10">
        <v>1</v>
      </c>
      <c r="Q72" s="10">
        <v>2</v>
      </c>
      <c r="R72" s="10">
        <v>3</v>
      </c>
      <c r="S72" s="10">
        <v>4</v>
      </c>
      <c r="T72" s="10">
        <v>5</v>
      </c>
      <c r="U72" s="10"/>
      <c r="V72" s="44"/>
      <c r="X72" s="11" t="s">
        <v>7</v>
      </c>
      <c r="Y72" s="10">
        <v>1</v>
      </c>
      <c r="Z72" s="10">
        <v>2</v>
      </c>
      <c r="AA72" s="10">
        <v>3</v>
      </c>
      <c r="AB72" s="10">
        <v>4</v>
      </c>
      <c r="AC72" s="10">
        <v>5</v>
      </c>
      <c r="AD72" s="10"/>
      <c r="AG72" s="11" t="s">
        <v>7</v>
      </c>
      <c r="AH72" s="10">
        <v>1</v>
      </c>
      <c r="AI72" s="10">
        <v>2</v>
      </c>
      <c r="AJ72" s="10">
        <v>3</v>
      </c>
      <c r="AK72" s="10">
        <v>4</v>
      </c>
      <c r="AL72" s="10">
        <v>5</v>
      </c>
      <c r="AM72" s="10"/>
      <c r="AP72" s="2" t="s">
        <v>205</v>
      </c>
      <c r="AQ72">
        <f>4*3</f>
        <v>12</v>
      </c>
    </row>
    <row r="73" spans="1:44" ht="15.6" x14ac:dyDescent="0.3">
      <c r="A73">
        <v>5</v>
      </c>
      <c r="B73">
        <v>1</v>
      </c>
      <c r="C73">
        <v>2</v>
      </c>
      <c r="D73">
        <v>3</v>
      </c>
      <c r="E73">
        <v>2</v>
      </c>
      <c r="F73">
        <v>2</v>
      </c>
      <c r="G73">
        <v>4</v>
      </c>
      <c r="H73">
        <v>4</v>
      </c>
      <c r="I73">
        <v>4</v>
      </c>
      <c r="J73">
        <v>3</v>
      </c>
      <c r="K73">
        <v>2</v>
      </c>
      <c r="L73">
        <v>4</v>
      </c>
      <c r="O73" s="42">
        <v>1</v>
      </c>
      <c r="P73">
        <f>COUNTIFS($E$2:$E$137,"1",$L$2:$L$137,"1")</f>
        <v>2</v>
      </c>
      <c r="Q73">
        <f>COUNTIFS($E$2:$E$137,"1",$L$2:$L$137,"2")</f>
        <v>11</v>
      </c>
      <c r="R73">
        <f>COUNTIFS($E$2:$E$137,"1",$L$2:$L$137,"3")</f>
        <v>6</v>
      </c>
      <c r="S73">
        <f>COUNTIFS($E$2:$E$137,"1",$L$2:$L$137,"4")</f>
        <v>8</v>
      </c>
      <c r="T73">
        <f>COUNTIFS($E$2:$E$137,"1",$L$2:$L$137,"5")</f>
        <v>2</v>
      </c>
      <c r="U73" s="56">
        <f>SUM(P73:T73)</f>
        <v>29</v>
      </c>
      <c r="V73" s="43"/>
      <c r="X73" s="42">
        <v>1</v>
      </c>
      <c r="Y73">
        <f t="shared" ref="Y73:AC75" si="48">$U73*P$77/$U$77</f>
        <v>1.0661764705882353</v>
      </c>
      <c r="Z73">
        <f t="shared" si="48"/>
        <v>6.1838235294117645</v>
      </c>
      <c r="AA73">
        <f t="shared" si="48"/>
        <v>9.1691176470588243</v>
      </c>
      <c r="AB73">
        <f t="shared" si="48"/>
        <v>8.5294117647058822</v>
      </c>
      <c r="AC73">
        <f t="shared" si="48"/>
        <v>4.0514705882352944</v>
      </c>
      <c r="AD73" s="56">
        <f>SUM(Y73:AC73)</f>
        <v>29.000000000000004</v>
      </c>
      <c r="AE73" s="52"/>
      <c r="AG73" s="42">
        <v>1</v>
      </c>
      <c r="AH73" s="3">
        <f t="shared" ref="AH73:AL74" si="49">(P73-Y73)^2/Y73</f>
        <v>0.81790060851926982</v>
      </c>
      <c r="AI73" s="3">
        <f t="shared" si="49"/>
        <v>3.7510054556900054</v>
      </c>
      <c r="AJ73" s="3">
        <f t="shared" si="49"/>
        <v>1.0953405821029298</v>
      </c>
      <c r="AK73" s="3">
        <f t="shared" si="49"/>
        <v>3.2860040567951311E-2</v>
      </c>
      <c r="AL73" s="3">
        <f t="shared" si="49"/>
        <v>1.0387664140066193</v>
      </c>
      <c r="AM73" s="54">
        <f>SUM(AH73:AL73)</f>
        <v>6.7358731008867752</v>
      </c>
      <c r="AP73" s="2" t="s">
        <v>202</v>
      </c>
      <c r="AQ73" s="10">
        <f>SUM(AH73:AL76)</f>
        <v>14.993150901660115</v>
      </c>
    </row>
    <row r="74" spans="1:44" ht="15.6" x14ac:dyDescent="0.3">
      <c r="A74">
        <v>2</v>
      </c>
      <c r="B74">
        <v>2</v>
      </c>
      <c r="C74">
        <v>2</v>
      </c>
      <c r="D74">
        <v>1</v>
      </c>
      <c r="E74">
        <v>2</v>
      </c>
      <c r="F74">
        <v>2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O74" s="42">
        <v>2</v>
      </c>
      <c r="P74">
        <f>COUNTIFS($E$2:$E$137,"2",$L$2:$L$137,"1")</f>
        <v>3</v>
      </c>
      <c r="Q74">
        <f>COUNTIFS($E$2:$E$137,"2",$L$2:$L$137,"2")</f>
        <v>12</v>
      </c>
      <c r="R74">
        <f>COUNTIFS($E$2:$E$137,"2",$L$2:$L$137,"3")</f>
        <v>22</v>
      </c>
      <c r="S74">
        <f>COUNTIFS($E$2:$E$137,"2",$L$2:$L$137,"4")</f>
        <v>22</v>
      </c>
      <c r="T74">
        <f>COUNTIFS($E$2:$E$137,"2",$L$2:$L$137,"5")</f>
        <v>12</v>
      </c>
      <c r="U74" s="56">
        <f>SUM(P74:T74)</f>
        <v>71</v>
      </c>
      <c r="V74" s="43"/>
      <c r="X74" s="42">
        <v>2</v>
      </c>
      <c r="Y74">
        <f t="shared" si="48"/>
        <v>2.6102941176470589</v>
      </c>
      <c r="Z74">
        <f t="shared" si="48"/>
        <v>15.139705882352942</v>
      </c>
      <c r="AA74">
        <f t="shared" si="48"/>
        <v>22.448529411764707</v>
      </c>
      <c r="AB74">
        <f t="shared" si="48"/>
        <v>20.882352941176471</v>
      </c>
      <c r="AC74">
        <f t="shared" si="48"/>
        <v>9.9191176470588243</v>
      </c>
      <c r="AD74" s="56">
        <f>SUM(Y74:AC74)</f>
        <v>71</v>
      </c>
      <c r="AE74" s="43"/>
      <c r="AG74" s="42">
        <v>2</v>
      </c>
      <c r="AH74">
        <f t="shared" si="49"/>
        <v>5.8181441590720778E-2</v>
      </c>
      <c r="AI74">
        <f t="shared" si="49"/>
        <v>0.65111918978373307</v>
      </c>
      <c r="AJ74">
        <f t="shared" si="49"/>
        <v>8.9617733762355507E-3</v>
      </c>
      <c r="AK74">
        <f t="shared" si="49"/>
        <v>5.9817729908864914E-2</v>
      </c>
      <c r="AL74">
        <f t="shared" si="49"/>
        <v>0.43653795840055781</v>
      </c>
      <c r="AM74" s="54">
        <f>SUM(AH74:AL74)</f>
        <v>1.2146180930601123</v>
      </c>
      <c r="AN74" s="44"/>
      <c r="AP74" s="2" t="s">
        <v>203</v>
      </c>
      <c r="AQ74" s="50">
        <v>21.03</v>
      </c>
    </row>
    <row r="75" spans="1:44" ht="15.6" x14ac:dyDescent="0.3">
      <c r="A75">
        <v>2</v>
      </c>
      <c r="B75">
        <v>2</v>
      </c>
      <c r="C75">
        <v>2</v>
      </c>
      <c r="D75">
        <v>1</v>
      </c>
      <c r="E75">
        <v>2</v>
      </c>
      <c r="F75">
        <v>2</v>
      </c>
      <c r="G75">
        <v>4</v>
      </c>
      <c r="H75">
        <v>4</v>
      </c>
      <c r="I75">
        <v>4</v>
      </c>
      <c r="J75">
        <v>3</v>
      </c>
      <c r="K75">
        <v>4</v>
      </c>
      <c r="L75">
        <v>2</v>
      </c>
      <c r="O75" s="42">
        <v>3</v>
      </c>
      <c r="P75">
        <f>COUNTIFS($E$2:$E$137,"3",$L$2:$L$137,"1")</f>
        <v>0</v>
      </c>
      <c r="Q75">
        <f>COUNTIFS($E$2:$E$137,"3",$L$2:$L$137,"2")</f>
        <v>3</v>
      </c>
      <c r="R75">
        <f>COUNTIFS($E$2:$E$137,"3",$L$2:$L$137,"3")</f>
        <v>7</v>
      </c>
      <c r="S75">
        <f>COUNTIFS($E$2:$E$137,"3",$L$2:$L$137,"4")</f>
        <v>1</v>
      </c>
      <c r="T75">
        <f>COUNTIFS($E$2:$E$137,"3",$L$2:$L$137,"5")</f>
        <v>2</v>
      </c>
      <c r="U75" s="56">
        <f>SUM(P75:T75)</f>
        <v>13</v>
      </c>
      <c r="V75" s="43"/>
      <c r="X75">
        <v>3</v>
      </c>
      <c r="Y75">
        <f t="shared" si="48"/>
        <v>0.47794117647058826</v>
      </c>
      <c r="Z75">
        <f t="shared" si="48"/>
        <v>2.7720588235294117</v>
      </c>
      <c r="AA75">
        <f t="shared" si="48"/>
        <v>4.1102941176470589</v>
      </c>
      <c r="AB75">
        <f t="shared" si="48"/>
        <v>3.8235294117647061</v>
      </c>
      <c r="AC75">
        <f t="shared" si="48"/>
        <v>1.8161764705882353</v>
      </c>
      <c r="AD75" s="56">
        <f>SUM(Y75:AC75)</f>
        <v>13</v>
      </c>
      <c r="AE75" s="43"/>
      <c r="AG75" s="42">
        <v>3</v>
      </c>
      <c r="AH75">
        <f>(P75-Y75)^2/Y75</f>
        <v>0.47794117647058826</v>
      </c>
      <c r="AI75">
        <f>(Q75-Z75)^2/Z75</f>
        <v>1.8743173662037774E-2</v>
      </c>
      <c r="AJ75">
        <f>(R75-AA75)^2/AA75</f>
        <v>2.0315821319583285</v>
      </c>
      <c r="AK75">
        <f>(S75-AB75)^2/AB75</f>
        <v>2.0850678733031676</v>
      </c>
      <c r="AL75">
        <f>(T75-AC75)^2/AC75</f>
        <v>1.8605620385806147E-2</v>
      </c>
      <c r="AM75" s="54">
        <f>SUM(AH75:AL75)</f>
        <v>4.631939975779928</v>
      </c>
      <c r="AN75" s="43"/>
      <c r="AP75" s="2" t="s">
        <v>206</v>
      </c>
      <c r="AQ75">
        <f>_xlfn.CHISQ.DIST.RT(AQ73,AQ72)</f>
        <v>0.24181122344636485</v>
      </c>
      <c r="AR75" t="s">
        <v>220</v>
      </c>
    </row>
    <row r="76" spans="1:44" ht="15.6" x14ac:dyDescent="0.3">
      <c r="A76">
        <v>2</v>
      </c>
      <c r="B76">
        <v>2</v>
      </c>
      <c r="C76">
        <v>2</v>
      </c>
      <c r="D76">
        <v>1</v>
      </c>
      <c r="E76">
        <v>2</v>
      </c>
      <c r="F76">
        <v>2</v>
      </c>
      <c r="G76">
        <v>3</v>
      </c>
      <c r="H76">
        <v>5</v>
      </c>
      <c r="I76">
        <v>4</v>
      </c>
      <c r="J76">
        <v>4</v>
      </c>
      <c r="K76">
        <v>4</v>
      </c>
      <c r="L76">
        <v>3</v>
      </c>
      <c r="O76" s="42">
        <v>4</v>
      </c>
      <c r="P76">
        <f>COUNTIFS($E$2:$E$137,"4",$L$2:$L$137,"1")</f>
        <v>0</v>
      </c>
      <c r="Q76">
        <f>COUNTIFS($E$2:$E$137,"4",$L$2:$L$137,"2")</f>
        <v>3</v>
      </c>
      <c r="R76">
        <f>COUNTIFS($E$2:$E$137,"4",$L$2:$L$137,"3")</f>
        <v>8</v>
      </c>
      <c r="S76">
        <f>COUNTIFS($E$2:$E$137,"4",$L$2:$L$137,"4")</f>
        <v>9</v>
      </c>
      <c r="T76">
        <f>COUNTIFS($E$2:$E$137,"4",$L$2:$L$137,"5")</f>
        <v>3</v>
      </c>
      <c r="U76" s="56">
        <f>SUM(P76:T76)</f>
        <v>23</v>
      </c>
      <c r="V76" s="43"/>
      <c r="X76" s="42">
        <v>4</v>
      </c>
      <c r="Y76">
        <f>$U76*P$77/$U$77</f>
        <v>0.84558823529411764</v>
      </c>
      <c r="Z76">
        <f t="shared" ref="Z76:AC76" si="50">$U76*Q$77/$U$77</f>
        <v>4.9044117647058822</v>
      </c>
      <c r="AA76">
        <f t="shared" si="50"/>
        <v>7.2720588235294121</v>
      </c>
      <c r="AB76">
        <f t="shared" si="50"/>
        <v>6.7647058823529411</v>
      </c>
      <c r="AC76">
        <f t="shared" si="50"/>
        <v>3.2132352941176472</v>
      </c>
      <c r="AD76" s="56">
        <f>SUM(Y76:AC76)</f>
        <v>23.000000000000004</v>
      </c>
      <c r="AE76" s="43"/>
      <c r="AG76" s="23">
        <v>4</v>
      </c>
      <c r="AH76">
        <f t="shared" ref="AH76" si="51">(P76-Y76)^2/Y76</f>
        <v>0.84558823529411764</v>
      </c>
      <c r="AI76">
        <f t="shared" ref="AI76" si="52">(Q76-Z76)^2/Z76</f>
        <v>0.73949422347649707</v>
      </c>
      <c r="AJ76">
        <f t="shared" ref="AJ76" si="53">(R76-AA76)^2/AA76</f>
        <v>7.2867721406054756E-2</v>
      </c>
      <c r="AK76">
        <f t="shared" ref="AK76" si="54">(S76-AB76)^2/AB76</f>
        <v>0.73861892583120203</v>
      </c>
      <c r="AL76">
        <f t="shared" ref="AL76" si="55">(T76-AC76)^2/AC76</f>
        <v>1.4150625925427396E-2</v>
      </c>
      <c r="AM76" s="54">
        <f>SUM(AH76:AL76)</f>
        <v>2.4107197319332987</v>
      </c>
      <c r="AN76" s="43"/>
      <c r="AP76" t="s">
        <v>222</v>
      </c>
    </row>
    <row r="77" spans="1:44" ht="15.6" x14ac:dyDescent="0.3">
      <c r="A77">
        <v>2</v>
      </c>
      <c r="B77">
        <v>2</v>
      </c>
      <c r="C77">
        <v>2</v>
      </c>
      <c r="D77">
        <v>1</v>
      </c>
      <c r="E77">
        <v>2</v>
      </c>
      <c r="F77">
        <v>2</v>
      </c>
      <c r="G77">
        <v>4</v>
      </c>
      <c r="H77">
        <v>4</v>
      </c>
      <c r="I77">
        <v>4</v>
      </c>
      <c r="J77">
        <v>4</v>
      </c>
      <c r="K77">
        <v>4</v>
      </c>
      <c r="L77">
        <v>3</v>
      </c>
      <c r="O77" s="42"/>
      <c r="P77" s="54">
        <f>SUM(P73:P76)</f>
        <v>5</v>
      </c>
      <c r="Q77" s="54">
        <f t="shared" ref="Q77:U77" si="56">SUM(Q73:Q76)</f>
        <v>29</v>
      </c>
      <c r="R77" s="54">
        <f t="shared" si="56"/>
        <v>43</v>
      </c>
      <c r="S77" s="54">
        <f t="shared" si="56"/>
        <v>40</v>
      </c>
      <c r="T77" s="54">
        <f t="shared" si="56"/>
        <v>19</v>
      </c>
      <c r="U77" s="45">
        <f t="shared" si="56"/>
        <v>136</v>
      </c>
      <c r="V77" s="43"/>
      <c r="X77" s="42"/>
      <c r="Y77" s="54">
        <f>SUM(Y73:Y76)</f>
        <v>5</v>
      </c>
      <c r="Z77" s="54">
        <f t="shared" ref="Z77:AD77" si="57">SUM(Z73:Z76)</f>
        <v>29</v>
      </c>
      <c r="AA77" s="54">
        <f t="shared" si="57"/>
        <v>43</v>
      </c>
      <c r="AB77" s="54">
        <f t="shared" si="57"/>
        <v>40</v>
      </c>
      <c r="AC77" s="54">
        <f t="shared" si="57"/>
        <v>19.000000000000004</v>
      </c>
      <c r="AD77" s="45">
        <f t="shared" si="57"/>
        <v>136</v>
      </c>
      <c r="AE77" s="43"/>
      <c r="AG77" s="61"/>
      <c r="AH77" s="51">
        <f>SUM(AH73:AH76)</f>
        <v>2.1996114618746967</v>
      </c>
      <c r="AI77" s="51">
        <f t="shared" ref="AI77:AM77" si="58">SUM(AI73:AI76)</f>
        <v>5.1603620426122729</v>
      </c>
      <c r="AJ77" s="51">
        <f t="shared" si="58"/>
        <v>3.2087522088435487</v>
      </c>
      <c r="AK77" s="51">
        <f t="shared" si="58"/>
        <v>2.916364569611186</v>
      </c>
      <c r="AL77" s="51">
        <f t="shared" si="58"/>
        <v>1.5080606187184105</v>
      </c>
      <c r="AM77" s="45">
        <f t="shared" si="58"/>
        <v>14.993150901660114</v>
      </c>
      <c r="AN77" s="43"/>
      <c r="AP77" s="2" t="s">
        <v>299</v>
      </c>
      <c r="AQ77" s="50">
        <f>SQRT(AQ73/($AQ$9*$AQ$10))</f>
        <v>0.19169746705843019</v>
      </c>
      <c r="AR77" t="s">
        <v>337</v>
      </c>
    </row>
    <row r="78" spans="1:44" ht="15.6" x14ac:dyDescent="0.3">
      <c r="A78">
        <v>2</v>
      </c>
      <c r="B78">
        <v>2</v>
      </c>
      <c r="C78">
        <v>2</v>
      </c>
      <c r="D78">
        <v>1</v>
      </c>
      <c r="E78">
        <v>2</v>
      </c>
      <c r="F78">
        <v>1</v>
      </c>
      <c r="G78">
        <v>5</v>
      </c>
      <c r="H78">
        <v>5</v>
      </c>
      <c r="I78">
        <v>4</v>
      </c>
      <c r="J78">
        <v>4</v>
      </c>
      <c r="K78">
        <v>4</v>
      </c>
      <c r="L78">
        <v>4</v>
      </c>
      <c r="O78" s="42"/>
      <c r="U78" s="43"/>
      <c r="V78" s="43"/>
      <c r="X78" s="42"/>
      <c r="AD78" s="43"/>
      <c r="AE78" s="43"/>
      <c r="AG78" s="61"/>
      <c r="AM78" s="45"/>
      <c r="AN78" s="43"/>
    </row>
    <row r="79" spans="1:44" ht="18" x14ac:dyDescent="0.35">
      <c r="A79">
        <v>2</v>
      </c>
      <c r="B79">
        <v>1</v>
      </c>
      <c r="C79">
        <v>2</v>
      </c>
      <c r="D79">
        <v>1</v>
      </c>
      <c r="E79">
        <v>2</v>
      </c>
      <c r="F79">
        <v>2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P79" s="43"/>
      <c r="Q79" s="43"/>
      <c r="R79" s="43"/>
      <c r="S79" s="43"/>
      <c r="T79" s="43"/>
      <c r="U79" s="48"/>
      <c r="V79" s="46"/>
      <c r="X79" s="42"/>
      <c r="AD79" s="43"/>
      <c r="AE79" s="43"/>
      <c r="AG79" s="61"/>
      <c r="AM79" s="45"/>
      <c r="AN79" s="43"/>
    </row>
    <row r="80" spans="1:44" ht="18" x14ac:dyDescent="0.35">
      <c r="A80">
        <v>5</v>
      </c>
      <c r="B80">
        <v>2</v>
      </c>
      <c r="C80">
        <v>1</v>
      </c>
      <c r="D80">
        <v>4</v>
      </c>
      <c r="E80">
        <v>1</v>
      </c>
      <c r="F80">
        <v>2</v>
      </c>
      <c r="G80">
        <v>4</v>
      </c>
      <c r="H80">
        <v>5</v>
      </c>
      <c r="I80">
        <v>5</v>
      </c>
      <c r="J80">
        <v>5</v>
      </c>
      <c r="K80">
        <v>4</v>
      </c>
      <c r="L80">
        <v>5</v>
      </c>
      <c r="Y80" s="43"/>
      <c r="Z80" s="43"/>
      <c r="AA80" s="43"/>
      <c r="AB80" s="43"/>
      <c r="AC80" s="43"/>
      <c r="AD80" s="48"/>
      <c r="AE80" s="43"/>
      <c r="AH80" s="48"/>
      <c r="AI80" s="48"/>
      <c r="AJ80" s="48"/>
      <c r="AK80" s="48"/>
      <c r="AL80" s="48"/>
      <c r="AM80" s="46"/>
      <c r="AN80" s="43"/>
    </row>
    <row r="81" spans="1:12" x14ac:dyDescent="0.3">
      <c r="A81">
        <v>5</v>
      </c>
      <c r="B81">
        <v>2</v>
      </c>
      <c r="C81">
        <v>1</v>
      </c>
      <c r="D81">
        <v>5</v>
      </c>
      <c r="E81">
        <v>1</v>
      </c>
      <c r="F81">
        <v>2</v>
      </c>
      <c r="G81">
        <v>2</v>
      </c>
      <c r="H81">
        <v>4</v>
      </c>
      <c r="I81">
        <v>5</v>
      </c>
      <c r="J81">
        <v>2</v>
      </c>
      <c r="K81">
        <v>2</v>
      </c>
      <c r="L81">
        <v>2</v>
      </c>
    </row>
    <row r="82" spans="1:12" x14ac:dyDescent="0.3">
      <c r="A82">
        <v>3</v>
      </c>
      <c r="B82">
        <v>2</v>
      </c>
      <c r="C82">
        <v>1</v>
      </c>
      <c r="D82">
        <v>4</v>
      </c>
      <c r="E82">
        <v>1</v>
      </c>
      <c r="F82">
        <v>2</v>
      </c>
      <c r="G82">
        <v>5</v>
      </c>
      <c r="H82">
        <v>5</v>
      </c>
      <c r="I82">
        <v>4</v>
      </c>
      <c r="J82">
        <v>4</v>
      </c>
      <c r="K82">
        <v>5</v>
      </c>
      <c r="L82">
        <v>5</v>
      </c>
    </row>
    <row r="83" spans="1:12" x14ac:dyDescent="0.3">
      <c r="A83">
        <v>2</v>
      </c>
      <c r="B83">
        <v>2</v>
      </c>
      <c r="C83">
        <v>2</v>
      </c>
      <c r="D83">
        <v>2</v>
      </c>
      <c r="E83">
        <v>2</v>
      </c>
      <c r="F83">
        <v>3</v>
      </c>
      <c r="G83">
        <v>4</v>
      </c>
      <c r="H83">
        <v>4</v>
      </c>
      <c r="I83">
        <v>4</v>
      </c>
      <c r="J83">
        <v>2</v>
      </c>
      <c r="K83">
        <v>3</v>
      </c>
      <c r="L83">
        <v>5</v>
      </c>
    </row>
    <row r="84" spans="1:12" x14ac:dyDescent="0.3">
      <c r="A84">
        <v>2</v>
      </c>
      <c r="B84">
        <v>2</v>
      </c>
      <c r="C84">
        <v>1</v>
      </c>
      <c r="D84">
        <v>2</v>
      </c>
      <c r="E84">
        <v>2</v>
      </c>
      <c r="F84">
        <v>3</v>
      </c>
      <c r="G84">
        <v>3</v>
      </c>
      <c r="H84">
        <v>4</v>
      </c>
      <c r="I84">
        <v>4</v>
      </c>
      <c r="J84">
        <v>3</v>
      </c>
      <c r="K84">
        <v>3</v>
      </c>
      <c r="L84">
        <v>4</v>
      </c>
    </row>
    <row r="85" spans="1:12" x14ac:dyDescent="0.3">
      <c r="A85">
        <v>2</v>
      </c>
      <c r="B85">
        <v>2</v>
      </c>
      <c r="C85">
        <v>2</v>
      </c>
      <c r="D85">
        <v>2</v>
      </c>
      <c r="E85">
        <v>2</v>
      </c>
      <c r="F85">
        <v>2</v>
      </c>
      <c r="G85">
        <v>4</v>
      </c>
      <c r="H85">
        <v>4</v>
      </c>
      <c r="I85">
        <v>5</v>
      </c>
      <c r="J85">
        <v>3</v>
      </c>
      <c r="K85">
        <v>4</v>
      </c>
      <c r="L85">
        <v>4</v>
      </c>
    </row>
    <row r="86" spans="1:12" x14ac:dyDescent="0.3">
      <c r="A86">
        <v>6</v>
      </c>
      <c r="B86">
        <v>2</v>
      </c>
      <c r="C86">
        <v>3</v>
      </c>
      <c r="D86">
        <v>5</v>
      </c>
      <c r="E86">
        <v>4</v>
      </c>
      <c r="F86">
        <v>2</v>
      </c>
      <c r="G86">
        <v>3</v>
      </c>
      <c r="H86">
        <v>4</v>
      </c>
      <c r="I86">
        <v>4</v>
      </c>
      <c r="J86">
        <v>4</v>
      </c>
      <c r="K86">
        <v>4</v>
      </c>
      <c r="L86">
        <v>5</v>
      </c>
    </row>
    <row r="87" spans="1:12" x14ac:dyDescent="0.3">
      <c r="A87">
        <v>6</v>
      </c>
      <c r="B87">
        <v>2</v>
      </c>
      <c r="C87">
        <v>1</v>
      </c>
      <c r="D87">
        <v>5</v>
      </c>
      <c r="E87">
        <v>2</v>
      </c>
      <c r="F87">
        <v>2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</row>
    <row r="88" spans="1:12" x14ac:dyDescent="0.3">
      <c r="A88">
        <v>3</v>
      </c>
      <c r="B88">
        <v>2</v>
      </c>
      <c r="C88">
        <v>1</v>
      </c>
      <c r="D88">
        <v>2</v>
      </c>
      <c r="E88">
        <v>1</v>
      </c>
      <c r="F88">
        <v>2</v>
      </c>
      <c r="G88">
        <v>5</v>
      </c>
      <c r="H88">
        <v>5</v>
      </c>
      <c r="I88">
        <v>4</v>
      </c>
      <c r="J88">
        <v>4</v>
      </c>
      <c r="K88">
        <v>5</v>
      </c>
      <c r="L88">
        <v>4</v>
      </c>
    </row>
    <row r="89" spans="1:12" x14ac:dyDescent="0.3">
      <c r="A89">
        <v>6</v>
      </c>
      <c r="B89">
        <v>2</v>
      </c>
      <c r="C89">
        <v>3</v>
      </c>
      <c r="D89">
        <v>5</v>
      </c>
      <c r="E89">
        <v>4</v>
      </c>
      <c r="F89">
        <v>2</v>
      </c>
      <c r="G89">
        <v>4</v>
      </c>
      <c r="H89">
        <v>4</v>
      </c>
      <c r="I89">
        <v>4</v>
      </c>
      <c r="J89">
        <v>4</v>
      </c>
      <c r="K89">
        <v>4</v>
      </c>
      <c r="L89">
        <v>3</v>
      </c>
    </row>
    <row r="90" spans="1:12" x14ac:dyDescent="0.3">
      <c r="A90">
        <v>3</v>
      </c>
      <c r="B90">
        <v>2</v>
      </c>
      <c r="C90">
        <v>2</v>
      </c>
      <c r="D90">
        <v>3</v>
      </c>
      <c r="E90">
        <v>2</v>
      </c>
      <c r="F90">
        <v>1</v>
      </c>
      <c r="G90">
        <v>3</v>
      </c>
      <c r="H90">
        <v>4</v>
      </c>
      <c r="I90">
        <v>5</v>
      </c>
      <c r="J90">
        <v>3</v>
      </c>
      <c r="K90">
        <v>2</v>
      </c>
      <c r="L90">
        <v>3</v>
      </c>
    </row>
    <row r="91" spans="1:12" x14ac:dyDescent="0.3">
      <c r="A91">
        <v>3</v>
      </c>
      <c r="B91">
        <v>2</v>
      </c>
      <c r="C91">
        <v>2</v>
      </c>
      <c r="D91">
        <v>3</v>
      </c>
      <c r="E91">
        <v>2</v>
      </c>
      <c r="F91">
        <v>2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</row>
    <row r="92" spans="1:12" x14ac:dyDescent="0.3">
      <c r="A92">
        <v>3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5</v>
      </c>
      <c r="I92">
        <v>5</v>
      </c>
      <c r="J92">
        <v>2</v>
      </c>
      <c r="K92">
        <v>3</v>
      </c>
      <c r="L92">
        <v>3</v>
      </c>
    </row>
    <row r="93" spans="1:12" x14ac:dyDescent="0.3">
      <c r="A93">
        <v>3</v>
      </c>
      <c r="B93">
        <v>2</v>
      </c>
      <c r="C93">
        <v>2</v>
      </c>
      <c r="D93">
        <v>2</v>
      </c>
      <c r="E93">
        <v>2</v>
      </c>
      <c r="F93">
        <v>2</v>
      </c>
      <c r="G93">
        <v>3</v>
      </c>
      <c r="H93">
        <v>5</v>
      </c>
      <c r="I93">
        <v>4</v>
      </c>
      <c r="J93">
        <v>3</v>
      </c>
      <c r="K93">
        <v>4</v>
      </c>
      <c r="L93">
        <v>3</v>
      </c>
    </row>
    <row r="94" spans="1:12" x14ac:dyDescent="0.3">
      <c r="A94">
        <v>4</v>
      </c>
      <c r="B94">
        <v>2</v>
      </c>
      <c r="C94">
        <v>2</v>
      </c>
      <c r="D94">
        <v>4</v>
      </c>
      <c r="E94">
        <v>2</v>
      </c>
      <c r="F94">
        <v>3</v>
      </c>
      <c r="G94">
        <v>5</v>
      </c>
      <c r="H94">
        <v>4</v>
      </c>
      <c r="I94">
        <v>4</v>
      </c>
      <c r="J94">
        <v>4</v>
      </c>
      <c r="K94">
        <v>4</v>
      </c>
      <c r="L94">
        <v>2</v>
      </c>
    </row>
    <row r="95" spans="1:12" x14ac:dyDescent="0.3">
      <c r="A95">
        <v>4</v>
      </c>
      <c r="B95">
        <v>2</v>
      </c>
      <c r="C95">
        <v>3</v>
      </c>
      <c r="D95">
        <v>5</v>
      </c>
      <c r="E95">
        <v>4</v>
      </c>
      <c r="F95">
        <v>3</v>
      </c>
      <c r="G95">
        <v>4</v>
      </c>
      <c r="H95">
        <v>4</v>
      </c>
      <c r="I95">
        <v>5</v>
      </c>
      <c r="J95">
        <v>3</v>
      </c>
      <c r="K95">
        <v>4</v>
      </c>
      <c r="L95">
        <v>3</v>
      </c>
    </row>
    <row r="96" spans="1:12" x14ac:dyDescent="0.3">
      <c r="A96">
        <v>2</v>
      </c>
      <c r="B96">
        <v>2</v>
      </c>
      <c r="C96">
        <v>2</v>
      </c>
      <c r="D96">
        <v>2</v>
      </c>
      <c r="E96">
        <v>2</v>
      </c>
      <c r="F96">
        <v>3</v>
      </c>
      <c r="G96">
        <v>3</v>
      </c>
      <c r="H96">
        <v>5</v>
      </c>
      <c r="I96">
        <v>3</v>
      </c>
      <c r="J96">
        <v>4</v>
      </c>
      <c r="K96">
        <v>5</v>
      </c>
      <c r="L96">
        <v>2</v>
      </c>
    </row>
    <row r="97" spans="1:12" x14ac:dyDescent="0.3">
      <c r="A97">
        <v>4</v>
      </c>
      <c r="B97">
        <v>2</v>
      </c>
      <c r="C97">
        <v>3</v>
      </c>
      <c r="D97">
        <v>5</v>
      </c>
      <c r="E97">
        <v>4</v>
      </c>
      <c r="F97">
        <v>2</v>
      </c>
      <c r="G97">
        <v>2</v>
      </c>
      <c r="H97">
        <v>4</v>
      </c>
      <c r="I97">
        <v>4</v>
      </c>
      <c r="J97">
        <v>2</v>
      </c>
      <c r="K97">
        <v>2</v>
      </c>
      <c r="L97">
        <v>4</v>
      </c>
    </row>
    <row r="98" spans="1:12" x14ac:dyDescent="0.3">
      <c r="A98">
        <v>3</v>
      </c>
      <c r="B98">
        <v>2</v>
      </c>
      <c r="C98">
        <v>2</v>
      </c>
      <c r="D98">
        <v>1</v>
      </c>
      <c r="E98">
        <v>2</v>
      </c>
      <c r="F98">
        <v>2</v>
      </c>
      <c r="G98">
        <v>5</v>
      </c>
      <c r="H98">
        <v>5</v>
      </c>
      <c r="I98">
        <v>5</v>
      </c>
      <c r="J98">
        <v>4</v>
      </c>
      <c r="K98">
        <v>4</v>
      </c>
      <c r="L98">
        <v>5</v>
      </c>
    </row>
    <row r="99" spans="1:12" x14ac:dyDescent="0.3">
      <c r="A99">
        <v>3</v>
      </c>
      <c r="B99">
        <v>2</v>
      </c>
      <c r="C99">
        <v>2</v>
      </c>
      <c r="D99">
        <v>2</v>
      </c>
      <c r="E99">
        <v>2</v>
      </c>
      <c r="F99">
        <v>2</v>
      </c>
      <c r="G99">
        <v>4</v>
      </c>
      <c r="H99">
        <v>4</v>
      </c>
      <c r="I99">
        <v>4</v>
      </c>
      <c r="J99">
        <v>3</v>
      </c>
      <c r="K99">
        <v>4</v>
      </c>
      <c r="L99">
        <v>4</v>
      </c>
    </row>
    <row r="100" spans="1:12" x14ac:dyDescent="0.3">
      <c r="A100">
        <v>4</v>
      </c>
      <c r="B100">
        <v>2</v>
      </c>
      <c r="C100">
        <v>2</v>
      </c>
      <c r="D100">
        <v>4</v>
      </c>
      <c r="E100">
        <v>4</v>
      </c>
      <c r="F100">
        <v>2</v>
      </c>
      <c r="G100">
        <v>3</v>
      </c>
      <c r="H100">
        <v>2</v>
      </c>
      <c r="I100">
        <v>4</v>
      </c>
      <c r="J100">
        <v>2</v>
      </c>
      <c r="K100">
        <v>2</v>
      </c>
      <c r="L100">
        <v>4</v>
      </c>
    </row>
    <row r="101" spans="1:12" x14ac:dyDescent="0.3">
      <c r="A101">
        <v>3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4</v>
      </c>
      <c r="H101">
        <v>4</v>
      </c>
      <c r="I101">
        <v>5</v>
      </c>
      <c r="J101">
        <v>4</v>
      </c>
      <c r="K101">
        <v>4</v>
      </c>
      <c r="L101">
        <v>2</v>
      </c>
    </row>
    <row r="102" spans="1:12" x14ac:dyDescent="0.3">
      <c r="A102">
        <v>5</v>
      </c>
      <c r="B102">
        <v>2</v>
      </c>
      <c r="C102">
        <v>3</v>
      </c>
      <c r="D102">
        <v>5</v>
      </c>
      <c r="E102">
        <v>4</v>
      </c>
      <c r="F102">
        <v>2</v>
      </c>
      <c r="G102">
        <v>4</v>
      </c>
      <c r="H102">
        <v>4</v>
      </c>
      <c r="I102">
        <v>3</v>
      </c>
      <c r="J102">
        <v>2</v>
      </c>
      <c r="K102">
        <v>3</v>
      </c>
      <c r="L102">
        <v>3</v>
      </c>
    </row>
    <row r="103" spans="1:12" x14ac:dyDescent="0.3">
      <c r="A103">
        <v>4</v>
      </c>
      <c r="B103">
        <v>2</v>
      </c>
      <c r="C103">
        <v>1</v>
      </c>
      <c r="D103">
        <v>2</v>
      </c>
      <c r="E103">
        <v>1</v>
      </c>
      <c r="F103">
        <v>2</v>
      </c>
      <c r="G103">
        <v>3</v>
      </c>
      <c r="H103">
        <v>4</v>
      </c>
      <c r="I103">
        <v>4</v>
      </c>
      <c r="J103">
        <v>4</v>
      </c>
      <c r="K103">
        <v>3</v>
      </c>
      <c r="L103">
        <v>3</v>
      </c>
    </row>
    <row r="104" spans="1:12" x14ac:dyDescent="0.3">
      <c r="A104">
        <v>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4</v>
      </c>
      <c r="H104">
        <v>3</v>
      </c>
      <c r="I104">
        <v>3</v>
      </c>
      <c r="J104">
        <v>3</v>
      </c>
      <c r="K104">
        <v>2</v>
      </c>
      <c r="L104">
        <v>2</v>
      </c>
    </row>
    <row r="105" spans="1:12" x14ac:dyDescent="0.3">
      <c r="A105">
        <v>3</v>
      </c>
      <c r="B105">
        <v>2</v>
      </c>
      <c r="C105">
        <v>2</v>
      </c>
      <c r="D105">
        <v>3</v>
      </c>
      <c r="E105">
        <v>2</v>
      </c>
      <c r="F105">
        <v>3</v>
      </c>
      <c r="G105">
        <v>2</v>
      </c>
      <c r="H105">
        <v>5</v>
      </c>
      <c r="I105">
        <v>5</v>
      </c>
      <c r="J105">
        <v>4</v>
      </c>
      <c r="K105">
        <v>4</v>
      </c>
      <c r="L105">
        <v>3</v>
      </c>
    </row>
    <row r="106" spans="1:12" x14ac:dyDescent="0.3">
      <c r="A106">
        <v>3</v>
      </c>
      <c r="B106">
        <v>2</v>
      </c>
      <c r="C106">
        <v>2</v>
      </c>
      <c r="D106">
        <v>3</v>
      </c>
      <c r="E106">
        <v>2</v>
      </c>
      <c r="F106">
        <v>3</v>
      </c>
      <c r="G106">
        <v>4</v>
      </c>
      <c r="H106">
        <v>5</v>
      </c>
      <c r="I106">
        <v>4</v>
      </c>
      <c r="J106">
        <v>4</v>
      </c>
      <c r="K106">
        <v>4</v>
      </c>
      <c r="L106">
        <v>3</v>
      </c>
    </row>
    <row r="107" spans="1:12" x14ac:dyDescent="0.3">
      <c r="A107">
        <v>5</v>
      </c>
      <c r="B107">
        <v>2</v>
      </c>
      <c r="C107">
        <v>3</v>
      </c>
      <c r="D107">
        <v>5</v>
      </c>
      <c r="E107">
        <v>4</v>
      </c>
      <c r="F107">
        <v>3</v>
      </c>
      <c r="G107">
        <v>3</v>
      </c>
      <c r="H107">
        <v>4</v>
      </c>
      <c r="I107">
        <v>5</v>
      </c>
      <c r="J107">
        <v>4</v>
      </c>
      <c r="K107">
        <v>4</v>
      </c>
      <c r="L107">
        <v>4</v>
      </c>
    </row>
    <row r="108" spans="1:12" x14ac:dyDescent="0.3">
      <c r="A108">
        <v>4</v>
      </c>
      <c r="B108">
        <v>2</v>
      </c>
      <c r="C108">
        <v>2</v>
      </c>
      <c r="D108">
        <v>5</v>
      </c>
      <c r="E108">
        <v>4</v>
      </c>
      <c r="F108">
        <v>2</v>
      </c>
      <c r="G108">
        <v>3</v>
      </c>
      <c r="H108">
        <v>4</v>
      </c>
      <c r="I108">
        <v>4</v>
      </c>
      <c r="J108">
        <v>3</v>
      </c>
      <c r="K108">
        <v>3</v>
      </c>
      <c r="L108">
        <v>3</v>
      </c>
    </row>
    <row r="109" spans="1:12" x14ac:dyDescent="0.3">
      <c r="A109">
        <v>2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3</v>
      </c>
      <c r="H109">
        <v>4</v>
      </c>
      <c r="I109">
        <v>3</v>
      </c>
      <c r="J109">
        <v>2</v>
      </c>
      <c r="K109">
        <v>3</v>
      </c>
      <c r="L109">
        <v>4</v>
      </c>
    </row>
    <row r="110" spans="1:12" x14ac:dyDescent="0.3">
      <c r="A110">
        <v>3</v>
      </c>
      <c r="B110">
        <v>2</v>
      </c>
      <c r="C110">
        <v>1</v>
      </c>
      <c r="D110">
        <v>2</v>
      </c>
      <c r="E110">
        <v>2</v>
      </c>
      <c r="F110">
        <v>2</v>
      </c>
      <c r="G110">
        <v>4</v>
      </c>
      <c r="H110">
        <v>5</v>
      </c>
      <c r="I110">
        <v>4</v>
      </c>
      <c r="J110">
        <v>2</v>
      </c>
      <c r="K110">
        <v>2</v>
      </c>
      <c r="L110">
        <v>2</v>
      </c>
    </row>
    <row r="111" spans="1:12" x14ac:dyDescent="0.3">
      <c r="A111">
        <v>3</v>
      </c>
      <c r="B111">
        <v>2</v>
      </c>
      <c r="C111">
        <v>2</v>
      </c>
      <c r="D111">
        <v>2</v>
      </c>
      <c r="E111">
        <v>2</v>
      </c>
      <c r="F111">
        <v>3</v>
      </c>
      <c r="G111">
        <v>4</v>
      </c>
      <c r="H111">
        <v>5</v>
      </c>
      <c r="I111">
        <v>4</v>
      </c>
      <c r="J111">
        <v>3</v>
      </c>
      <c r="K111">
        <v>4</v>
      </c>
      <c r="L111">
        <v>4</v>
      </c>
    </row>
    <row r="112" spans="1:12" x14ac:dyDescent="0.3">
      <c r="A112">
        <v>4</v>
      </c>
      <c r="B112">
        <v>2</v>
      </c>
      <c r="C112">
        <v>2</v>
      </c>
      <c r="D112">
        <v>3</v>
      </c>
      <c r="E112">
        <v>3</v>
      </c>
      <c r="F112">
        <v>2</v>
      </c>
      <c r="G112">
        <v>3</v>
      </c>
      <c r="H112">
        <v>4</v>
      </c>
      <c r="I112">
        <v>4</v>
      </c>
      <c r="J112">
        <v>3</v>
      </c>
      <c r="K112">
        <v>5</v>
      </c>
      <c r="L112">
        <v>3</v>
      </c>
    </row>
    <row r="113" spans="1:12" x14ac:dyDescent="0.3">
      <c r="A113">
        <v>5</v>
      </c>
      <c r="B113">
        <v>2</v>
      </c>
      <c r="C113">
        <v>2</v>
      </c>
      <c r="D113">
        <v>3</v>
      </c>
      <c r="E113">
        <v>4</v>
      </c>
      <c r="F113">
        <v>2</v>
      </c>
      <c r="G113">
        <v>4</v>
      </c>
      <c r="H113">
        <v>5</v>
      </c>
      <c r="I113">
        <v>4</v>
      </c>
      <c r="J113">
        <v>4</v>
      </c>
      <c r="K113">
        <v>4</v>
      </c>
      <c r="L113">
        <v>4</v>
      </c>
    </row>
    <row r="114" spans="1:12" x14ac:dyDescent="0.3">
      <c r="A114">
        <v>5</v>
      </c>
      <c r="B114">
        <v>2</v>
      </c>
      <c r="C114">
        <v>1</v>
      </c>
      <c r="D114">
        <v>4</v>
      </c>
      <c r="E114">
        <v>2</v>
      </c>
      <c r="F114">
        <v>2</v>
      </c>
      <c r="G114">
        <v>3</v>
      </c>
      <c r="H114">
        <v>5</v>
      </c>
      <c r="I114">
        <v>4</v>
      </c>
      <c r="J114">
        <v>4</v>
      </c>
      <c r="K114">
        <v>4</v>
      </c>
      <c r="L114">
        <v>4</v>
      </c>
    </row>
    <row r="115" spans="1:12" x14ac:dyDescent="0.3">
      <c r="A115">
        <v>2</v>
      </c>
      <c r="B115">
        <v>2</v>
      </c>
      <c r="C115">
        <v>2</v>
      </c>
      <c r="D115">
        <v>1</v>
      </c>
      <c r="E115">
        <v>2</v>
      </c>
      <c r="F115">
        <v>2</v>
      </c>
      <c r="G115">
        <v>3</v>
      </c>
      <c r="H115">
        <v>4</v>
      </c>
      <c r="I115">
        <v>5</v>
      </c>
      <c r="J115">
        <v>4</v>
      </c>
      <c r="K115">
        <v>4</v>
      </c>
      <c r="L115">
        <v>5</v>
      </c>
    </row>
    <row r="116" spans="1:12" x14ac:dyDescent="0.3">
      <c r="A116">
        <v>2</v>
      </c>
      <c r="B116">
        <v>2</v>
      </c>
      <c r="C116">
        <v>2</v>
      </c>
      <c r="D116">
        <v>1</v>
      </c>
      <c r="E116">
        <v>2</v>
      </c>
      <c r="F116">
        <v>3</v>
      </c>
      <c r="G116">
        <v>4</v>
      </c>
      <c r="H116">
        <v>5</v>
      </c>
      <c r="I116">
        <v>5</v>
      </c>
      <c r="J116">
        <v>4</v>
      </c>
      <c r="K116">
        <v>4</v>
      </c>
      <c r="L116">
        <v>4</v>
      </c>
    </row>
    <row r="117" spans="1:12" x14ac:dyDescent="0.3">
      <c r="A117">
        <v>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5</v>
      </c>
      <c r="I117">
        <v>5</v>
      </c>
      <c r="J117">
        <v>3</v>
      </c>
      <c r="K117">
        <v>4</v>
      </c>
      <c r="L117">
        <v>4</v>
      </c>
    </row>
    <row r="118" spans="1:12" x14ac:dyDescent="0.3">
      <c r="A118">
        <v>4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3</v>
      </c>
    </row>
    <row r="119" spans="1:12" x14ac:dyDescent="0.3">
      <c r="A119">
        <v>3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4</v>
      </c>
      <c r="H119">
        <v>5</v>
      </c>
      <c r="I119">
        <v>5</v>
      </c>
      <c r="J119">
        <v>2</v>
      </c>
      <c r="K119">
        <v>3</v>
      </c>
      <c r="L119">
        <v>3</v>
      </c>
    </row>
    <row r="120" spans="1:12" x14ac:dyDescent="0.3">
      <c r="A120">
        <v>3</v>
      </c>
      <c r="B120">
        <v>2</v>
      </c>
      <c r="C120">
        <v>1</v>
      </c>
      <c r="D120">
        <v>2</v>
      </c>
      <c r="E120">
        <v>1</v>
      </c>
      <c r="F120">
        <v>3</v>
      </c>
      <c r="G120">
        <v>4</v>
      </c>
      <c r="H120">
        <v>5</v>
      </c>
      <c r="I120">
        <v>4</v>
      </c>
      <c r="J120">
        <v>1</v>
      </c>
      <c r="K120">
        <v>3</v>
      </c>
      <c r="L120">
        <v>2</v>
      </c>
    </row>
    <row r="121" spans="1:12" x14ac:dyDescent="0.3">
      <c r="A121">
        <v>3</v>
      </c>
      <c r="B121">
        <v>2</v>
      </c>
      <c r="C121">
        <v>2</v>
      </c>
      <c r="D121">
        <v>3</v>
      </c>
      <c r="E121">
        <v>3</v>
      </c>
      <c r="F121">
        <v>3</v>
      </c>
      <c r="G121">
        <v>2</v>
      </c>
      <c r="H121">
        <v>4</v>
      </c>
      <c r="I121">
        <v>5</v>
      </c>
      <c r="J121">
        <v>3</v>
      </c>
      <c r="K121">
        <v>4</v>
      </c>
      <c r="L121">
        <v>5</v>
      </c>
    </row>
    <row r="122" spans="1:12" x14ac:dyDescent="0.3">
      <c r="A122">
        <v>6</v>
      </c>
      <c r="B122">
        <v>2</v>
      </c>
      <c r="C122">
        <v>1</v>
      </c>
      <c r="D122">
        <v>3</v>
      </c>
      <c r="E122">
        <v>1</v>
      </c>
      <c r="F122">
        <v>2</v>
      </c>
      <c r="G122">
        <v>4</v>
      </c>
      <c r="H122">
        <v>5</v>
      </c>
      <c r="I122">
        <v>5</v>
      </c>
      <c r="J122">
        <v>5</v>
      </c>
      <c r="K122">
        <v>5</v>
      </c>
      <c r="L122">
        <v>4</v>
      </c>
    </row>
    <row r="123" spans="1:12" x14ac:dyDescent="0.3">
      <c r="A123">
        <v>4</v>
      </c>
      <c r="B123">
        <v>2</v>
      </c>
      <c r="C123">
        <v>3</v>
      </c>
      <c r="D123">
        <v>4</v>
      </c>
      <c r="E123">
        <v>4</v>
      </c>
      <c r="F123">
        <v>2</v>
      </c>
      <c r="G123">
        <v>1</v>
      </c>
      <c r="H123">
        <v>5</v>
      </c>
      <c r="I123">
        <v>4</v>
      </c>
      <c r="J123">
        <v>1</v>
      </c>
      <c r="K123">
        <v>3</v>
      </c>
      <c r="L123">
        <v>2</v>
      </c>
    </row>
    <row r="124" spans="1:12" x14ac:dyDescent="0.3">
      <c r="A124">
        <v>4</v>
      </c>
      <c r="B124">
        <v>2</v>
      </c>
      <c r="C124">
        <v>3</v>
      </c>
      <c r="D124">
        <v>5</v>
      </c>
      <c r="E124">
        <v>3</v>
      </c>
      <c r="F124">
        <v>2</v>
      </c>
      <c r="G124">
        <v>3</v>
      </c>
      <c r="H124">
        <v>3</v>
      </c>
      <c r="I124">
        <v>4</v>
      </c>
      <c r="J124">
        <v>3</v>
      </c>
      <c r="K124">
        <v>2</v>
      </c>
      <c r="L124">
        <v>3</v>
      </c>
    </row>
    <row r="125" spans="1:12" x14ac:dyDescent="0.3">
      <c r="A125">
        <v>5</v>
      </c>
      <c r="B125">
        <v>2</v>
      </c>
      <c r="C125">
        <v>2</v>
      </c>
      <c r="D125">
        <v>5</v>
      </c>
      <c r="E125">
        <v>4</v>
      </c>
      <c r="F125">
        <v>2</v>
      </c>
      <c r="G125">
        <v>5</v>
      </c>
      <c r="H125">
        <v>4</v>
      </c>
      <c r="I125">
        <v>4</v>
      </c>
      <c r="J125">
        <v>4</v>
      </c>
      <c r="K125">
        <v>5</v>
      </c>
      <c r="L125">
        <v>5</v>
      </c>
    </row>
    <row r="126" spans="1:12" x14ac:dyDescent="0.3">
      <c r="A126">
        <v>3</v>
      </c>
      <c r="B126">
        <v>2</v>
      </c>
      <c r="C126">
        <v>2</v>
      </c>
      <c r="D126">
        <v>3</v>
      </c>
      <c r="E126">
        <v>2</v>
      </c>
      <c r="F126">
        <v>3</v>
      </c>
      <c r="G126">
        <v>3</v>
      </c>
      <c r="H126">
        <v>4</v>
      </c>
      <c r="I126">
        <v>5</v>
      </c>
      <c r="J126">
        <v>3</v>
      </c>
      <c r="K126">
        <v>5</v>
      </c>
      <c r="L126">
        <v>3</v>
      </c>
    </row>
    <row r="127" spans="1:12" x14ac:dyDescent="0.3">
      <c r="A127">
        <v>6</v>
      </c>
      <c r="B127">
        <v>2</v>
      </c>
      <c r="C127">
        <v>3</v>
      </c>
      <c r="D127">
        <v>5</v>
      </c>
      <c r="E127">
        <v>4</v>
      </c>
      <c r="F127">
        <v>2</v>
      </c>
      <c r="G127">
        <v>5</v>
      </c>
      <c r="H127">
        <v>4</v>
      </c>
      <c r="I127">
        <v>4</v>
      </c>
      <c r="J127">
        <v>3</v>
      </c>
      <c r="K127">
        <v>4</v>
      </c>
      <c r="L127">
        <v>4</v>
      </c>
    </row>
    <row r="128" spans="1:12" x14ac:dyDescent="0.3">
      <c r="A128">
        <v>3</v>
      </c>
      <c r="B128">
        <v>2</v>
      </c>
      <c r="C128">
        <v>2</v>
      </c>
      <c r="D128">
        <v>2</v>
      </c>
      <c r="E128">
        <v>2</v>
      </c>
      <c r="F128">
        <v>3</v>
      </c>
      <c r="G128">
        <v>2</v>
      </c>
      <c r="H128">
        <v>3</v>
      </c>
      <c r="I128">
        <v>4</v>
      </c>
      <c r="J128">
        <v>3</v>
      </c>
      <c r="K128">
        <v>3</v>
      </c>
      <c r="L128">
        <v>1</v>
      </c>
    </row>
    <row r="129" spans="1:12" x14ac:dyDescent="0.3">
      <c r="A129">
        <v>3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4</v>
      </c>
      <c r="H129">
        <v>5</v>
      </c>
      <c r="I129">
        <v>5</v>
      </c>
      <c r="J129">
        <v>2</v>
      </c>
      <c r="K129">
        <v>4</v>
      </c>
      <c r="L129">
        <v>1</v>
      </c>
    </row>
    <row r="130" spans="1:12" x14ac:dyDescent="0.3">
      <c r="A130">
        <v>4</v>
      </c>
      <c r="B130">
        <v>2</v>
      </c>
      <c r="C130">
        <v>1</v>
      </c>
      <c r="D130">
        <v>4</v>
      </c>
      <c r="E130">
        <v>1</v>
      </c>
      <c r="F130">
        <v>2</v>
      </c>
      <c r="G130">
        <v>2</v>
      </c>
      <c r="H130">
        <v>1</v>
      </c>
      <c r="I130">
        <v>1</v>
      </c>
      <c r="J130">
        <v>1</v>
      </c>
      <c r="K130">
        <v>2</v>
      </c>
      <c r="L130">
        <v>2</v>
      </c>
    </row>
    <row r="131" spans="1:12" x14ac:dyDescent="0.3">
      <c r="A131">
        <v>5</v>
      </c>
      <c r="B131">
        <v>2</v>
      </c>
      <c r="C131">
        <v>2</v>
      </c>
      <c r="D131">
        <v>2</v>
      </c>
      <c r="E131">
        <v>3</v>
      </c>
      <c r="F131">
        <v>2</v>
      </c>
      <c r="G131">
        <v>5</v>
      </c>
      <c r="H131">
        <v>5</v>
      </c>
      <c r="I131">
        <v>5</v>
      </c>
      <c r="J131">
        <v>3</v>
      </c>
      <c r="K131">
        <v>4</v>
      </c>
      <c r="L131">
        <v>3</v>
      </c>
    </row>
    <row r="132" spans="1:12" x14ac:dyDescent="0.3">
      <c r="A132">
        <v>4</v>
      </c>
      <c r="B132">
        <v>2</v>
      </c>
      <c r="C132">
        <v>3</v>
      </c>
      <c r="D132">
        <v>3</v>
      </c>
      <c r="E132">
        <v>2</v>
      </c>
      <c r="F132">
        <v>2</v>
      </c>
      <c r="G132">
        <v>3</v>
      </c>
      <c r="H132">
        <v>4</v>
      </c>
      <c r="I132">
        <v>5</v>
      </c>
      <c r="J132">
        <v>4</v>
      </c>
      <c r="K132">
        <v>5</v>
      </c>
      <c r="L132">
        <v>4</v>
      </c>
    </row>
    <row r="133" spans="1:12" x14ac:dyDescent="0.3">
      <c r="A133">
        <v>3</v>
      </c>
      <c r="B133">
        <v>2</v>
      </c>
      <c r="C133">
        <v>2</v>
      </c>
      <c r="D133">
        <v>2</v>
      </c>
      <c r="E133">
        <v>3</v>
      </c>
      <c r="F133">
        <v>2</v>
      </c>
      <c r="G133">
        <v>4</v>
      </c>
      <c r="H133">
        <v>4</v>
      </c>
      <c r="I133">
        <v>2</v>
      </c>
      <c r="J133">
        <v>2</v>
      </c>
      <c r="K133">
        <v>2</v>
      </c>
      <c r="L133">
        <v>2</v>
      </c>
    </row>
    <row r="134" spans="1:12" x14ac:dyDescent="0.3">
      <c r="A134">
        <v>2</v>
      </c>
      <c r="B134">
        <v>1</v>
      </c>
      <c r="C134">
        <v>1</v>
      </c>
      <c r="D134">
        <v>1</v>
      </c>
      <c r="E134">
        <v>1</v>
      </c>
      <c r="F134">
        <v>2</v>
      </c>
      <c r="G134">
        <v>3</v>
      </c>
      <c r="H134">
        <v>2</v>
      </c>
      <c r="I134">
        <v>4</v>
      </c>
      <c r="J134">
        <v>2</v>
      </c>
      <c r="K134">
        <v>4</v>
      </c>
      <c r="L134">
        <v>3</v>
      </c>
    </row>
    <row r="135" spans="1:12" x14ac:dyDescent="0.3">
      <c r="A135">
        <v>5</v>
      </c>
      <c r="B135">
        <v>2</v>
      </c>
      <c r="C135">
        <v>1</v>
      </c>
      <c r="D135">
        <v>2</v>
      </c>
      <c r="E135">
        <v>1</v>
      </c>
      <c r="F135">
        <v>1</v>
      </c>
      <c r="G135">
        <v>5</v>
      </c>
      <c r="H135">
        <v>4</v>
      </c>
      <c r="I135">
        <v>4</v>
      </c>
      <c r="J135">
        <v>5</v>
      </c>
      <c r="K135">
        <v>5</v>
      </c>
      <c r="L135">
        <v>1</v>
      </c>
    </row>
    <row r="136" spans="1:12" x14ac:dyDescent="0.3">
      <c r="A136">
        <v>4</v>
      </c>
      <c r="B136">
        <v>2</v>
      </c>
      <c r="C136">
        <v>3</v>
      </c>
      <c r="D136">
        <v>4</v>
      </c>
      <c r="E136">
        <v>3</v>
      </c>
      <c r="F136">
        <v>2</v>
      </c>
      <c r="G136">
        <v>3</v>
      </c>
      <c r="H136">
        <v>4</v>
      </c>
      <c r="I136">
        <v>4</v>
      </c>
      <c r="J136">
        <v>4</v>
      </c>
      <c r="K136">
        <v>4</v>
      </c>
      <c r="L136">
        <v>3</v>
      </c>
    </row>
    <row r="137" spans="1:12" x14ac:dyDescent="0.3">
      <c r="A137">
        <v>3</v>
      </c>
      <c r="B137">
        <v>2</v>
      </c>
      <c r="C137">
        <v>2</v>
      </c>
      <c r="D137">
        <v>3</v>
      </c>
      <c r="E137">
        <v>2</v>
      </c>
      <c r="F137">
        <v>2</v>
      </c>
      <c r="G137">
        <v>3</v>
      </c>
      <c r="H137">
        <v>2</v>
      </c>
      <c r="I137">
        <v>4</v>
      </c>
      <c r="J137">
        <v>2</v>
      </c>
      <c r="K137">
        <v>4</v>
      </c>
      <c r="L137">
        <v>2</v>
      </c>
    </row>
  </sheetData>
  <mergeCells count="18">
    <mergeCell ref="P1:U1"/>
    <mergeCell ref="Y1:AD1"/>
    <mergeCell ref="AH1:AM1"/>
    <mergeCell ref="P15:U15"/>
    <mergeCell ref="Y15:AD15"/>
    <mergeCell ref="AG15:AM15"/>
    <mergeCell ref="P57:U57"/>
    <mergeCell ref="P71:U71"/>
    <mergeCell ref="P29:U29"/>
    <mergeCell ref="Y29:AD29"/>
    <mergeCell ref="AG29:AM29"/>
    <mergeCell ref="P43:U43"/>
    <mergeCell ref="Y43:AD43"/>
    <mergeCell ref="AG43:AM43"/>
    <mergeCell ref="Y57:AD57"/>
    <mergeCell ref="Y71:AD71"/>
    <mergeCell ref="AH57:AN57"/>
    <mergeCell ref="AH71:AN71"/>
  </mergeCells>
  <hyperlinks>
    <hyperlink ref="AM17" r:id="rId1" display="=@sum(AH18:AL18)"/>
    <hyperlink ref="AM3" r:id="rId2" display="=@sum(AH3:AL3)"/>
    <hyperlink ref="AQ5" r:id="rId3" display="=@sum(AH3:AL8)"/>
    <hyperlink ref="AD17" r:id="rId4" display="=@sum(Y17:AD17)"/>
    <hyperlink ref="U17" r:id="rId5" display="=@sum(P3:U3"/>
    <hyperlink ref="U21:U23" r:id="rId6" display="=@sum(P3:U3"/>
    <hyperlink ref="U45" r:id="rId7" display="=@sum(P45:T45)"/>
    <hyperlink ref="U59" r:id="rId8" display="=@sum(P59:T59)"/>
    <hyperlink ref="U73" r:id="rId9" display="=@sum(P73:T73"/>
    <hyperlink ref="AM31" r:id="rId10" display="=@sum(AH18:AL18)"/>
    <hyperlink ref="AD31" r:id="rId11" display="=@sum(Y17:AD17)"/>
    <hyperlink ref="AM45" r:id="rId12" display="=@sum(AH18:AL18)"/>
    <hyperlink ref="AD45" r:id="rId13" display="=@sum(Y17:AD17)"/>
    <hyperlink ref="AM59" r:id="rId14" display="=@sum(AH18:AL18)"/>
    <hyperlink ref="AD59" r:id="rId15" display="=@sum(Y17:AD17)"/>
    <hyperlink ref="AM73" r:id="rId16" display="=@sum(AH18:AL18)"/>
    <hyperlink ref="AD73" r:id="rId17" display="=@sum(Y17:AD17)"/>
    <hyperlink ref="AD4" r:id="rId18" display="=@SUM(Y4:AC4)"/>
    <hyperlink ref="AM4:AM5" r:id="rId19" display="=@sum(AH3:AL3)"/>
    <hyperlink ref="AD5" r:id="rId20" display="=@SUM(Y4:AC4)"/>
    <hyperlink ref="AD3" r:id="rId21" display="=@SUM(Y4:AC4)"/>
    <hyperlink ref="AM74" r:id="rId22" display="=@sum(AH18:AL18)"/>
    <hyperlink ref="U20" r:id="rId23" display="=@sum(P3:P5)"/>
    <hyperlink ref="Y7" r:id="rId24" display="=@sum(Y3:Y5)"/>
    <hyperlink ref="AH7" r:id="rId25" display="=@sum(AH3:AH5)"/>
    <hyperlink ref="U18:U20" r:id="rId26" display="=@sum(P3:U3"/>
    <hyperlink ref="Y21" r:id="rId27" display="=@sum(Y17:Y19)"/>
    <hyperlink ref="AH21" r:id="rId28" display="=@sum(AH17:AH19)"/>
    <hyperlink ref="U31" r:id="rId29" display="=@sum(P3:U3"/>
    <hyperlink ref="P35" r:id="rId30" display="=@sum(P3:P5)"/>
    <hyperlink ref="Y35" r:id="rId31" display="=@sum(Y31:Y33)"/>
    <hyperlink ref="AH35" r:id="rId32" display="=@sum(AH31:AH33)"/>
    <hyperlink ref="P49" r:id="rId33" display="=@sum(P45:P47)"/>
    <hyperlink ref="Y49" r:id="rId34" display="-@SUM(Y45:Y47)"/>
    <hyperlink ref="AH49" r:id="rId35" display="=@SUM(AH45:AH47)"/>
    <hyperlink ref="P63" r:id="rId36" display="=@sum(P59:P61)"/>
    <hyperlink ref="Y63" r:id="rId37" display="=@SUM(Y59:Y61)"/>
    <hyperlink ref="AH63" r:id="rId38" display="=@SUM(AH59:AH61)"/>
    <hyperlink ref="P77" r:id="rId39" display="=@sum(P73:P75)"/>
    <hyperlink ref="Y77" r:id="rId40" display="=@sum(Y73:Y75)"/>
    <hyperlink ref="P7" r:id="rId41" display="=@sum(P3:P6)"/>
    <hyperlink ref="Q7:U7" r:id="rId42" display="=@sum(P3:P6)"/>
    <hyperlink ref="AD6" r:id="rId43" display="=@SUM(Y4:AC4)"/>
    <hyperlink ref="Z7:AD7" r:id="rId44" display="=@sum(Y3:Y5)"/>
    <hyperlink ref="AM6" r:id="rId45" display="=@sum(AH3:AL3)"/>
    <hyperlink ref="AI7:AL7" r:id="rId46" display="=@sum(AH3:AH5)"/>
    <hyperlink ref="AM7" r:id="rId47" display="=@sum(AH3:AH5)"/>
    <hyperlink ref="P21" r:id="rId48" display="=@sum(P17:P20)"/>
    <hyperlink ref="Q21:U21" r:id="rId49" display="=@sum(P17:P20)"/>
    <hyperlink ref="Z21:AD21" r:id="rId50" display="=@sum(Y17:Y19)"/>
    <hyperlink ref="AI21:AL21" r:id="rId51" display="=@sum(AH17:AH19)"/>
    <hyperlink ref="AM21" r:id="rId52" display="=@sum(AH17:AH19)"/>
    <hyperlink ref="Q35:T35" r:id="rId53" display="=@sum(P3:P5)"/>
    <hyperlink ref="Z35:AC35" r:id="rId54" display="=@sum(Y31:Y33)"/>
    <hyperlink ref="AI35:AL35" r:id="rId55" display="=@sum(AH31:AH33)"/>
    <hyperlink ref="Q49:T49" r:id="rId56" display="=@sum(P45:P47)"/>
    <hyperlink ref="Z49:AC49" r:id="rId57" display="-@SUM(Y45:Y47)"/>
    <hyperlink ref="AI49:AL49" r:id="rId58" display="=@SUM(AH45:AH47)"/>
    <hyperlink ref="Q63:U63" r:id="rId59" display="=@sum(P59:P61)"/>
    <hyperlink ref="Z63:AC63" r:id="rId60" display="=@SUM(Y59:Y61)"/>
    <hyperlink ref="AI63:AL63" r:id="rId61" display="=@SUM(AH59:AH61)"/>
    <hyperlink ref="Q77:U77" r:id="rId62" display="=@sum(P73:P75)"/>
    <hyperlink ref="Z77:AD77" r:id="rId63" display="=@sum(Y73:Y75)"/>
    <hyperlink ref="AH77" r:id="rId64" display="=@sum(AH73:AH76)"/>
    <hyperlink ref="AI77:AM77" r:id="rId65" display="=@sum(AH73:AH76)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37"/>
  <sheetViews>
    <sheetView topLeftCell="S59" workbookViewId="0">
      <selection activeCell="AH72" sqref="AH72"/>
    </sheetView>
  </sheetViews>
  <sheetFormatPr defaultRowHeight="14.4" x14ac:dyDescent="0.3"/>
  <sheetData>
    <row r="1" spans="1:44" x14ac:dyDescent="0.3">
      <c r="A1" s="63" t="s">
        <v>96</v>
      </c>
      <c r="B1" s="63" t="s">
        <v>4</v>
      </c>
      <c r="C1" s="63" t="s">
        <v>5</v>
      </c>
      <c r="D1" s="63" t="s">
        <v>6</v>
      </c>
      <c r="E1" s="63" t="s">
        <v>7</v>
      </c>
      <c r="F1" s="63" t="s">
        <v>134</v>
      </c>
      <c r="G1" s="63" t="s">
        <v>140</v>
      </c>
      <c r="H1" s="63" t="s">
        <v>141</v>
      </c>
      <c r="I1" s="63" t="s">
        <v>136</v>
      </c>
      <c r="J1" s="63" t="s">
        <v>137</v>
      </c>
      <c r="K1" s="63" t="s">
        <v>138</v>
      </c>
      <c r="L1" s="63" t="s">
        <v>139</v>
      </c>
      <c r="P1" s="106" t="s">
        <v>343</v>
      </c>
      <c r="Q1" s="106"/>
      <c r="R1" s="106"/>
      <c r="S1" s="106"/>
      <c r="T1" s="106"/>
      <c r="U1" s="106"/>
      <c r="Y1" s="106" t="s">
        <v>377</v>
      </c>
      <c r="Z1" s="106"/>
      <c r="AA1" s="106"/>
      <c r="AB1" s="106"/>
      <c r="AC1" s="106"/>
      <c r="AD1" s="106"/>
      <c r="AH1" s="106" t="s">
        <v>341</v>
      </c>
      <c r="AI1" s="106"/>
      <c r="AJ1" s="106"/>
      <c r="AK1" s="106"/>
      <c r="AL1" s="106"/>
      <c r="AM1" s="106"/>
    </row>
    <row r="2" spans="1:44" ht="15.6" x14ac:dyDescent="0.3">
      <c r="A2">
        <v>3</v>
      </c>
      <c r="B2">
        <v>2</v>
      </c>
      <c r="C2">
        <v>2</v>
      </c>
      <c r="D2">
        <v>2</v>
      </c>
      <c r="E2">
        <v>2</v>
      </c>
      <c r="F2">
        <v>3</v>
      </c>
      <c r="G2">
        <v>3</v>
      </c>
      <c r="H2">
        <v>5</v>
      </c>
      <c r="I2">
        <v>4</v>
      </c>
      <c r="J2">
        <v>3</v>
      </c>
      <c r="K2">
        <v>4</v>
      </c>
      <c r="L2">
        <v>2</v>
      </c>
      <c r="O2" s="11" t="s">
        <v>339</v>
      </c>
      <c r="P2" s="10">
        <v>1</v>
      </c>
      <c r="Q2" s="10">
        <v>2</v>
      </c>
      <c r="R2" s="10">
        <v>3</v>
      </c>
      <c r="S2" s="10">
        <v>4</v>
      </c>
      <c r="T2" s="10">
        <v>5</v>
      </c>
      <c r="U2" s="10"/>
      <c r="V2" s="44"/>
      <c r="X2" s="11" t="s">
        <v>378</v>
      </c>
      <c r="Y2" s="10">
        <v>1</v>
      </c>
      <c r="Z2" s="10">
        <v>2</v>
      </c>
      <c r="AA2" s="10">
        <v>3</v>
      </c>
      <c r="AB2" s="10">
        <v>4</v>
      </c>
      <c r="AC2" s="10">
        <v>5</v>
      </c>
      <c r="AD2" s="10"/>
      <c r="AE2" s="44"/>
      <c r="AG2" s="11" t="s">
        <v>339</v>
      </c>
      <c r="AH2" s="10">
        <v>1</v>
      </c>
      <c r="AI2" s="10">
        <v>2</v>
      </c>
      <c r="AJ2" s="10">
        <v>3</v>
      </c>
      <c r="AK2" s="10">
        <v>4</v>
      </c>
      <c r="AL2" s="10">
        <v>5</v>
      </c>
      <c r="AM2" s="10"/>
      <c r="AN2" s="44"/>
    </row>
    <row r="3" spans="1:44" ht="15.6" x14ac:dyDescent="0.3">
      <c r="A3">
        <v>5</v>
      </c>
      <c r="B3">
        <v>2</v>
      </c>
      <c r="C3">
        <v>3</v>
      </c>
      <c r="D3">
        <v>5</v>
      </c>
      <c r="E3">
        <v>4</v>
      </c>
      <c r="F3">
        <v>2</v>
      </c>
      <c r="G3">
        <v>3</v>
      </c>
      <c r="H3">
        <v>5</v>
      </c>
      <c r="I3">
        <v>4</v>
      </c>
      <c r="J3">
        <v>3</v>
      </c>
      <c r="K3">
        <v>4</v>
      </c>
      <c r="L3">
        <v>3</v>
      </c>
      <c r="O3" s="42">
        <v>1</v>
      </c>
      <c r="P3">
        <f>COUNTIFS($F$2:$F$137,"1",$G$2:$G$137,"1")</f>
        <v>0</v>
      </c>
      <c r="Q3">
        <f>COUNTIFS($F$2:$F$137,"1",$G$2:$G$137,"2")</f>
        <v>1</v>
      </c>
      <c r="R3">
        <f>COUNTIFS($F$2:$F$137,"1",$G$2:$G$137,"3")</f>
        <v>2</v>
      </c>
      <c r="S3">
        <f>COUNTIFS($F$2:$F$137,"1",$G$2:$G$137,"4")</f>
        <v>2</v>
      </c>
      <c r="T3">
        <f>COUNTIFS($F$2:$F$137,"1",$G$2:$G$137,"5")</f>
        <v>5</v>
      </c>
      <c r="U3" s="56">
        <f>SUM(P3:T3)</f>
        <v>10</v>
      </c>
      <c r="V3" s="43"/>
      <c r="X3" s="42">
        <v>1</v>
      </c>
      <c r="Y3">
        <f>($U3*P$6)/$U$6</f>
        <v>0.22058823529411764</v>
      </c>
      <c r="Z3">
        <f t="shared" ref="Z3:AC3" si="0">($U3*Q$6)/$U$6</f>
        <v>1.1029411764705883</v>
      </c>
      <c r="AA3">
        <f t="shared" si="0"/>
        <v>3.2352941176470589</v>
      </c>
      <c r="AB3">
        <f t="shared" si="0"/>
        <v>3.6029411764705883</v>
      </c>
      <c r="AC3">
        <f t="shared" si="0"/>
        <v>1.838235294117647</v>
      </c>
      <c r="AD3" s="54">
        <f>SUM(Y3:AC3)</f>
        <v>10</v>
      </c>
      <c r="AE3" s="43"/>
      <c r="AG3" s="42">
        <v>1</v>
      </c>
      <c r="AH3" s="3">
        <f t="shared" ref="AH3:AL5" si="1">(P3-Y3)^2/Y3</f>
        <v>0.22058823529411764</v>
      </c>
      <c r="AI3" s="3">
        <f t="shared" si="1"/>
        <v>9.6078431372549171E-3</v>
      </c>
      <c r="AJ3" s="3">
        <f t="shared" si="1"/>
        <v>0.47165775401069521</v>
      </c>
      <c r="AK3" s="3">
        <f t="shared" si="1"/>
        <v>0.71314525810324136</v>
      </c>
      <c r="AL3" s="3">
        <f t="shared" si="1"/>
        <v>5.4382352941176482</v>
      </c>
      <c r="AM3" s="54">
        <f>SUM(AH3:AL3)</f>
        <v>6.8532343846629571</v>
      </c>
      <c r="AN3" s="43"/>
      <c r="AP3" s="2" t="s">
        <v>204</v>
      </c>
      <c r="AQ3">
        <v>0.05</v>
      </c>
    </row>
    <row r="4" spans="1:44" ht="15.6" x14ac:dyDescent="0.3">
      <c r="A4">
        <v>3</v>
      </c>
      <c r="B4">
        <v>2</v>
      </c>
      <c r="C4">
        <v>2</v>
      </c>
      <c r="D4">
        <v>3</v>
      </c>
      <c r="E4">
        <v>2</v>
      </c>
      <c r="F4">
        <v>2</v>
      </c>
      <c r="G4">
        <v>2</v>
      </c>
      <c r="H4">
        <v>3</v>
      </c>
      <c r="I4">
        <v>4</v>
      </c>
      <c r="J4">
        <v>3</v>
      </c>
      <c r="K4">
        <v>4</v>
      </c>
      <c r="L4">
        <v>2</v>
      </c>
      <c r="O4" s="42">
        <v>2</v>
      </c>
      <c r="P4">
        <f>COUNTIFS($F$2:$F$137,"2",$G$2:$G$137,"1")</f>
        <v>3</v>
      </c>
      <c r="Q4">
        <f>COUNTIFS($F$2:$F$137,"2",$G$2:$G$137,"2")</f>
        <v>7</v>
      </c>
      <c r="R4">
        <f>COUNTIFS($F$2:$F$137,"2",$G$2:$G$137,"3")</f>
        <v>35</v>
      </c>
      <c r="S4">
        <f>COUNTIFS($F$2:$F$137,"2",$G$2:$G$137,"4")</f>
        <v>40</v>
      </c>
      <c r="T4">
        <f>COUNTIFS($F$2:$F$137,"2",$G$2:$G$137,"5")</f>
        <v>16</v>
      </c>
      <c r="U4" s="56">
        <f>SUM(P4:T4)</f>
        <v>101</v>
      </c>
      <c r="V4" s="43"/>
      <c r="X4" s="42">
        <v>2</v>
      </c>
      <c r="Y4">
        <f>($U4*P$6)/$U$6</f>
        <v>2.2279411764705883</v>
      </c>
      <c r="Z4">
        <f t="shared" ref="Z4:AC5" si="2">($U4*Q$6)/$U$6</f>
        <v>11.139705882352942</v>
      </c>
      <c r="AA4">
        <f t="shared" si="2"/>
        <v>32.676470588235297</v>
      </c>
      <c r="AB4">
        <f t="shared" si="2"/>
        <v>36.389705882352942</v>
      </c>
      <c r="AC4">
        <f t="shared" si="2"/>
        <v>18.566176470588236</v>
      </c>
      <c r="AD4" s="54">
        <f>SUM(Y4:AC4)</f>
        <v>101</v>
      </c>
      <c r="AE4" s="43"/>
      <c r="AG4" s="42">
        <v>2</v>
      </c>
      <c r="AH4" s="3">
        <f t="shared" si="1"/>
        <v>0.26754513686662779</v>
      </c>
      <c r="AI4" s="3">
        <f t="shared" si="1"/>
        <v>1.5383857503397405</v>
      </c>
      <c r="AJ4" s="3">
        <f t="shared" si="1"/>
        <v>0.16521946312278243</v>
      </c>
      <c r="AK4" s="3">
        <f t="shared" si="1"/>
        <v>0.35818436285405231</v>
      </c>
      <c r="AL4" s="3">
        <f t="shared" si="1"/>
        <v>0.35469132207338383</v>
      </c>
      <c r="AM4" s="54">
        <f>SUM(AH4:AL4)</f>
        <v>2.6840260352565868</v>
      </c>
      <c r="AN4" s="43"/>
      <c r="AP4" s="2" t="s">
        <v>205</v>
      </c>
      <c r="AQ4">
        <f>2*4</f>
        <v>8</v>
      </c>
    </row>
    <row r="5" spans="1:44" ht="15.6" x14ac:dyDescent="0.3">
      <c r="A5">
        <v>5</v>
      </c>
      <c r="B5">
        <v>2</v>
      </c>
      <c r="C5">
        <v>3</v>
      </c>
      <c r="D5">
        <v>5</v>
      </c>
      <c r="E5">
        <v>4</v>
      </c>
      <c r="F5">
        <v>2</v>
      </c>
      <c r="G5">
        <v>3</v>
      </c>
      <c r="H5">
        <v>3</v>
      </c>
      <c r="I5">
        <v>5</v>
      </c>
      <c r="J5">
        <v>3</v>
      </c>
      <c r="K5">
        <v>3</v>
      </c>
      <c r="L5">
        <v>3</v>
      </c>
      <c r="O5" s="42">
        <v>3</v>
      </c>
      <c r="P5">
        <f>COUNTIFS($F$2:$F$137,"3",$G$2:$G$137,"1")</f>
        <v>0</v>
      </c>
      <c r="Q5">
        <f>COUNTIFS($F$2:$F$137,"3",$G$2:$G$137,"2")</f>
        <v>7</v>
      </c>
      <c r="R5">
        <f>COUNTIFS($F$2:$F$137,"3",$G$2:$G$137,"3")</f>
        <v>7</v>
      </c>
      <c r="S5">
        <f>COUNTIFS($F$2:$F$137,"3",$G$2:$G$137,"4")</f>
        <v>7</v>
      </c>
      <c r="T5">
        <f>COUNTIFS($F$2:$F$137,"3",$G$2:$G$137,"5")</f>
        <v>4</v>
      </c>
      <c r="U5" s="56">
        <f>SUM(P5:T5)</f>
        <v>25</v>
      </c>
      <c r="V5" s="43"/>
      <c r="X5" s="42">
        <v>3</v>
      </c>
      <c r="Y5">
        <f>($U5*P$6)/$U$6</f>
        <v>0.55147058823529416</v>
      </c>
      <c r="Z5">
        <f t="shared" si="2"/>
        <v>2.7573529411764706</v>
      </c>
      <c r="AA5">
        <f t="shared" si="2"/>
        <v>8.0882352941176467</v>
      </c>
      <c r="AB5">
        <f t="shared" si="2"/>
        <v>9.007352941176471</v>
      </c>
      <c r="AC5">
        <f t="shared" si="2"/>
        <v>4.5955882352941178</v>
      </c>
      <c r="AD5" s="54">
        <f>SUM(Y5:AC5)</f>
        <v>25</v>
      </c>
      <c r="AE5" s="43"/>
      <c r="AG5" s="42">
        <v>3</v>
      </c>
      <c r="AH5" s="3">
        <f t="shared" si="1"/>
        <v>0.55147058823529416</v>
      </c>
      <c r="AI5" s="3">
        <f t="shared" si="1"/>
        <v>6.5280196078431363</v>
      </c>
      <c r="AJ5" s="3">
        <f t="shared" si="1"/>
        <v>0.14641711229946516</v>
      </c>
      <c r="AK5" s="3">
        <f t="shared" si="1"/>
        <v>0.44735294117647079</v>
      </c>
      <c r="AL5" s="3">
        <f t="shared" si="1"/>
        <v>7.7188235294117682E-2</v>
      </c>
      <c r="AM5" s="56">
        <f>SUM(AH5:AL5)</f>
        <v>7.7504484848484845</v>
      </c>
      <c r="AN5" s="43"/>
      <c r="AP5" s="2" t="s">
        <v>202</v>
      </c>
      <c r="AQ5" s="45">
        <f>SUM(AH3:AL5)</f>
        <v>17.287708904768024</v>
      </c>
    </row>
    <row r="6" spans="1:44" ht="18" x14ac:dyDescent="0.35">
      <c r="A6">
        <v>5</v>
      </c>
      <c r="B6">
        <v>2</v>
      </c>
      <c r="C6">
        <v>3</v>
      </c>
      <c r="D6">
        <v>5</v>
      </c>
      <c r="E6">
        <v>4</v>
      </c>
      <c r="F6">
        <v>1</v>
      </c>
      <c r="G6">
        <v>3</v>
      </c>
      <c r="H6">
        <v>4</v>
      </c>
      <c r="I6">
        <v>3</v>
      </c>
      <c r="J6">
        <v>3</v>
      </c>
      <c r="K6">
        <v>3</v>
      </c>
      <c r="L6">
        <v>3</v>
      </c>
      <c r="O6" s="42"/>
      <c r="P6" s="51">
        <f>SUM(P3:P5)</f>
        <v>3</v>
      </c>
      <c r="Q6" s="51">
        <f t="shared" ref="Q6:U6" si="3">SUM(Q3:Q5)</f>
        <v>15</v>
      </c>
      <c r="R6" s="51">
        <f t="shared" si="3"/>
        <v>44</v>
      </c>
      <c r="S6" s="51">
        <f t="shared" si="3"/>
        <v>49</v>
      </c>
      <c r="T6" s="51">
        <f t="shared" si="3"/>
        <v>25</v>
      </c>
      <c r="U6" s="46">
        <f t="shared" si="3"/>
        <v>136</v>
      </c>
      <c r="V6" s="43"/>
      <c r="X6" s="61"/>
      <c r="Y6" s="51">
        <f>SUM(Y3:Y5)</f>
        <v>3</v>
      </c>
      <c r="Z6" s="51">
        <f t="shared" ref="Z6:AD6" si="4">SUM(Z3:Z5)</f>
        <v>15.000000000000002</v>
      </c>
      <c r="AA6" s="51">
        <f t="shared" si="4"/>
        <v>44</v>
      </c>
      <c r="AB6" s="51">
        <f t="shared" si="4"/>
        <v>49</v>
      </c>
      <c r="AC6" s="51">
        <f t="shared" si="4"/>
        <v>25</v>
      </c>
      <c r="AD6" s="46">
        <f t="shared" si="4"/>
        <v>136</v>
      </c>
      <c r="AE6" s="43"/>
      <c r="AG6" s="61"/>
      <c r="AH6" s="51">
        <f>SUM(AH3:AH5)</f>
        <v>1.0396039603960396</v>
      </c>
      <c r="AI6" s="51">
        <f t="shared" ref="AI6:AM6" si="5">SUM(AI3:AI5)</f>
        <v>8.0760132013201318</v>
      </c>
      <c r="AJ6" s="51">
        <f t="shared" si="5"/>
        <v>0.78329432943294286</v>
      </c>
      <c r="AK6" s="51">
        <f t="shared" si="5"/>
        <v>1.5186825621337643</v>
      </c>
      <c r="AL6" s="51">
        <f t="shared" si="5"/>
        <v>5.87011485148515</v>
      </c>
      <c r="AM6" s="45">
        <f t="shared" si="5"/>
        <v>17.287708904768028</v>
      </c>
      <c r="AN6" s="43"/>
      <c r="AP6" s="2" t="s">
        <v>203</v>
      </c>
      <c r="AQ6" s="50">
        <v>15.51</v>
      </c>
    </row>
    <row r="7" spans="1:44" ht="15.6" x14ac:dyDescent="0.3">
      <c r="A7">
        <v>3</v>
      </c>
      <c r="B7">
        <v>2</v>
      </c>
      <c r="C7">
        <v>2</v>
      </c>
      <c r="D7">
        <v>2</v>
      </c>
      <c r="E7">
        <v>2</v>
      </c>
      <c r="F7">
        <v>2</v>
      </c>
      <c r="G7">
        <v>3</v>
      </c>
      <c r="H7">
        <v>4</v>
      </c>
      <c r="I7">
        <v>5</v>
      </c>
      <c r="J7">
        <v>5</v>
      </c>
      <c r="K7">
        <v>2</v>
      </c>
      <c r="L7">
        <v>3</v>
      </c>
      <c r="O7" s="42"/>
      <c r="V7" s="43"/>
      <c r="X7" s="61"/>
      <c r="AE7" s="43"/>
      <c r="AG7" s="61"/>
      <c r="AH7" s="54"/>
      <c r="AI7" s="54"/>
      <c r="AJ7" s="54"/>
      <c r="AK7" s="54"/>
      <c r="AL7" s="54"/>
      <c r="AM7" s="45"/>
      <c r="AN7" s="43"/>
      <c r="AP7" s="2" t="s">
        <v>206</v>
      </c>
      <c r="AQ7">
        <f>_xlfn.CHISQ.DIST.RT(AQ5,AQ4)</f>
        <v>2.7248792065988663E-2</v>
      </c>
      <c r="AR7" t="s">
        <v>220</v>
      </c>
    </row>
    <row r="8" spans="1:44" ht="15.6" x14ac:dyDescent="0.3">
      <c r="A8">
        <v>5</v>
      </c>
      <c r="B8">
        <v>2</v>
      </c>
      <c r="C8">
        <v>2</v>
      </c>
      <c r="D8">
        <v>5</v>
      </c>
      <c r="E8">
        <v>2</v>
      </c>
      <c r="F8">
        <v>2</v>
      </c>
      <c r="G8">
        <v>4</v>
      </c>
      <c r="H8">
        <v>4</v>
      </c>
      <c r="I8">
        <v>5</v>
      </c>
      <c r="J8">
        <v>4</v>
      </c>
      <c r="K8">
        <v>4</v>
      </c>
      <c r="L8">
        <v>5</v>
      </c>
      <c r="O8" s="42"/>
      <c r="U8" s="43"/>
      <c r="V8" s="43"/>
      <c r="X8" s="61"/>
      <c r="AD8" s="43"/>
      <c r="AE8" s="43"/>
      <c r="AG8" s="61"/>
      <c r="AM8" s="45"/>
      <c r="AN8" s="43"/>
      <c r="AP8" t="s">
        <v>208</v>
      </c>
    </row>
    <row r="9" spans="1:44" ht="18" x14ac:dyDescent="0.35">
      <c r="A9">
        <v>6</v>
      </c>
      <c r="B9">
        <v>2</v>
      </c>
      <c r="C9">
        <v>2</v>
      </c>
      <c r="D9">
        <v>5</v>
      </c>
      <c r="E9">
        <v>3</v>
      </c>
      <c r="F9">
        <v>2</v>
      </c>
      <c r="G9">
        <v>4</v>
      </c>
      <c r="H9">
        <v>4</v>
      </c>
      <c r="I9">
        <v>5</v>
      </c>
      <c r="J9">
        <v>3</v>
      </c>
      <c r="K9">
        <v>4</v>
      </c>
      <c r="L9">
        <v>3</v>
      </c>
      <c r="V9" s="46"/>
      <c r="Y9" s="43"/>
      <c r="Z9" s="43"/>
      <c r="AA9" s="43"/>
      <c r="AB9" s="43"/>
      <c r="AC9" s="43"/>
      <c r="AD9" s="43"/>
      <c r="AE9" s="46"/>
      <c r="AH9" s="43"/>
      <c r="AI9" s="43"/>
      <c r="AJ9" s="43"/>
      <c r="AK9" s="43"/>
      <c r="AL9" s="43"/>
      <c r="AM9" s="45"/>
      <c r="AN9" s="46"/>
      <c r="AP9" s="2" t="s">
        <v>336</v>
      </c>
      <c r="AQ9">
        <f>MIN(3,5)-1</f>
        <v>2</v>
      </c>
    </row>
    <row r="10" spans="1:44" x14ac:dyDescent="0.3">
      <c r="A10">
        <v>6</v>
      </c>
      <c r="B10">
        <v>2</v>
      </c>
      <c r="C10">
        <v>1</v>
      </c>
      <c r="D10">
        <v>5</v>
      </c>
      <c r="E10">
        <v>2</v>
      </c>
      <c r="F10">
        <v>1</v>
      </c>
      <c r="G10">
        <v>4</v>
      </c>
      <c r="H10">
        <v>3</v>
      </c>
      <c r="I10">
        <v>4</v>
      </c>
      <c r="J10">
        <v>2</v>
      </c>
      <c r="K10">
        <v>4</v>
      </c>
      <c r="L10">
        <v>3</v>
      </c>
      <c r="AP10" s="2" t="s">
        <v>309</v>
      </c>
      <c r="AQ10">
        <v>136</v>
      </c>
    </row>
    <row r="11" spans="1:44" ht="15.6" x14ac:dyDescent="0.3">
      <c r="A11">
        <v>5</v>
      </c>
      <c r="B11">
        <v>2</v>
      </c>
      <c r="C11">
        <v>2</v>
      </c>
      <c r="D11">
        <v>5</v>
      </c>
      <c r="E11">
        <v>4</v>
      </c>
      <c r="F11">
        <v>2</v>
      </c>
      <c r="G11">
        <v>3</v>
      </c>
      <c r="H11">
        <v>4</v>
      </c>
      <c r="I11">
        <v>4</v>
      </c>
      <c r="J11">
        <v>3</v>
      </c>
      <c r="K11">
        <v>4</v>
      </c>
      <c r="L11">
        <v>4</v>
      </c>
      <c r="AP11" s="2" t="s">
        <v>299</v>
      </c>
      <c r="AQ11" s="50">
        <f>SQRT(AQ5/($AQ$9*$AQ$10))</f>
        <v>0.25210663086549912</v>
      </c>
      <c r="AR11" t="s">
        <v>337</v>
      </c>
    </row>
    <row r="12" spans="1:44" x14ac:dyDescent="0.3">
      <c r="A12">
        <v>3</v>
      </c>
      <c r="B12">
        <v>2</v>
      </c>
      <c r="C12">
        <v>2</v>
      </c>
      <c r="D12">
        <v>3</v>
      </c>
      <c r="E12">
        <v>2</v>
      </c>
      <c r="F12">
        <v>2</v>
      </c>
      <c r="G12">
        <v>4</v>
      </c>
      <c r="H12">
        <v>5</v>
      </c>
      <c r="I12">
        <v>4</v>
      </c>
      <c r="J12">
        <v>4</v>
      </c>
      <c r="K12">
        <v>4</v>
      </c>
      <c r="L12">
        <v>5</v>
      </c>
    </row>
    <row r="13" spans="1:44" x14ac:dyDescent="0.3">
      <c r="A13">
        <v>4</v>
      </c>
      <c r="B13">
        <v>2</v>
      </c>
      <c r="C13">
        <v>1</v>
      </c>
      <c r="D13">
        <v>2</v>
      </c>
      <c r="E13">
        <v>1</v>
      </c>
      <c r="F13">
        <v>3</v>
      </c>
      <c r="G13">
        <v>5</v>
      </c>
      <c r="H13">
        <v>5</v>
      </c>
      <c r="I13">
        <v>5</v>
      </c>
      <c r="J13">
        <v>3</v>
      </c>
      <c r="K13">
        <v>5</v>
      </c>
      <c r="L13">
        <v>2</v>
      </c>
    </row>
    <row r="14" spans="1:44" x14ac:dyDescent="0.3">
      <c r="A14">
        <v>4</v>
      </c>
      <c r="B14">
        <v>2</v>
      </c>
      <c r="C14">
        <v>2</v>
      </c>
      <c r="D14">
        <v>2</v>
      </c>
      <c r="E14">
        <v>3</v>
      </c>
      <c r="F14">
        <v>2</v>
      </c>
      <c r="G14">
        <v>5</v>
      </c>
      <c r="H14">
        <v>5</v>
      </c>
      <c r="I14">
        <v>4</v>
      </c>
      <c r="J14">
        <v>4</v>
      </c>
      <c r="K14">
        <v>3</v>
      </c>
      <c r="L14">
        <v>3</v>
      </c>
    </row>
    <row r="15" spans="1:44" x14ac:dyDescent="0.3">
      <c r="A15">
        <v>4</v>
      </c>
      <c r="B15">
        <v>2</v>
      </c>
      <c r="C15">
        <v>1</v>
      </c>
      <c r="D15">
        <v>1</v>
      </c>
      <c r="E15">
        <v>1</v>
      </c>
      <c r="F15">
        <v>2</v>
      </c>
      <c r="G15">
        <v>3</v>
      </c>
      <c r="H15">
        <v>2</v>
      </c>
      <c r="I15">
        <v>4</v>
      </c>
      <c r="J15">
        <v>2</v>
      </c>
      <c r="K15">
        <v>3</v>
      </c>
      <c r="L15">
        <v>2</v>
      </c>
      <c r="P15" s="106" t="s">
        <v>359</v>
      </c>
      <c r="Q15" s="106"/>
      <c r="R15" s="106"/>
      <c r="S15" s="106"/>
      <c r="T15" s="106"/>
      <c r="U15" s="106"/>
      <c r="Y15" s="106" t="s">
        <v>361</v>
      </c>
      <c r="Z15" s="106"/>
      <c r="AA15" s="106"/>
      <c r="AB15" s="106"/>
      <c r="AC15" s="106"/>
      <c r="AD15" s="106"/>
      <c r="AG15" s="106" t="s">
        <v>353</v>
      </c>
      <c r="AH15" s="106"/>
      <c r="AI15" s="106"/>
      <c r="AJ15" s="106"/>
      <c r="AK15" s="106"/>
      <c r="AL15" s="106"/>
      <c r="AM15" s="106"/>
      <c r="AP15" s="2" t="s">
        <v>204</v>
      </c>
      <c r="AQ15">
        <v>0.05</v>
      </c>
    </row>
    <row r="16" spans="1:44" ht="15.6" x14ac:dyDescent="0.3">
      <c r="A16">
        <v>5</v>
      </c>
      <c r="B16">
        <v>2</v>
      </c>
      <c r="C16">
        <v>1</v>
      </c>
      <c r="D16">
        <v>5</v>
      </c>
      <c r="E16">
        <v>1</v>
      </c>
      <c r="F16">
        <v>2</v>
      </c>
      <c r="G16">
        <v>3</v>
      </c>
      <c r="H16">
        <v>5</v>
      </c>
      <c r="I16">
        <v>4</v>
      </c>
      <c r="J16">
        <v>3</v>
      </c>
      <c r="K16">
        <v>4</v>
      </c>
      <c r="L16">
        <v>2</v>
      </c>
      <c r="O16" s="11" t="s">
        <v>339</v>
      </c>
      <c r="P16" s="10">
        <v>1</v>
      </c>
      <c r="Q16" s="10">
        <v>2</v>
      </c>
      <c r="R16" s="10">
        <v>3</v>
      </c>
      <c r="S16" s="10">
        <v>4</v>
      </c>
      <c r="T16" s="10">
        <v>5</v>
      </c>
      <c r="U16" s="10"/>
      <c r="V16" s="44"/>
      <c r="X16" s="11" t="s">
        <v>339</v>
      </c>
      <c r="Y16" s="10">
        <v>1</v>
      </c>
      <c r="Z16" s="10">
        <v>2</v>
      </c>
      <c r="AA16" s="10">
        <v>3</v>
      </c>
      <c r="AB16" s="10">
        <v>4</v>
      </c>
      <c r="AC16" s="10">
        <v>5</v>
      </c>
      <c r="AD16" s="10"/>
      <c r="AE16" s="52"/>
      <c r="AG16" s="11" t="s">
        <v>339</v>
      </c>
      <c r="AH16" s="10">
        <v>1</v>
      </c>
      <c r="AI16" s="10">
        <v>2</v>
      </c>
      <c r="AJ16" s="10">
        <v>3</v>
      </c>
      <c r="AK16" s="10">
        <v>4</v>
      </c>
      <c r="AL16" s="10">
        <v>5</v>
      </c>
      <c r="AM16" s="10"/>
      <c r="AP16" s="2" t="s">
        <v>205</v>
      </c>
      <c r="AQ16">
        <f>2*4</f>
        <v>8</v>
      </c>
    </row>
    <row r="17" spans="1:44" ht="15.6" x14ac:dyDescent="0.3">
      <c r="A17">
        <v>3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  <c r="I17">
        <v>4</v>
      </c>
      <c r="J17">
        <v>2</v>
      </c>
      <c r="K17">
        <v>2</v>
      </c>
      <c r="L17">
        <v>2</v>
      </c>
      <c r="O17" s="42">
        <v>1</v>
      </c>
      <c r="P17">
        <f>COUNTIFS($F$2:$F$137,"1",$H$2:$H$137,"1")</f>
        <v>0</v>
      </c>
      <c r="Q17">
        <f>COUNTIFS($F$2:$F$137,"1",$H$2:$H$137,"2")</f>
        <v>1</v>
      </c>
      <c r="R17">
        <f>COUNTIFS($F$2:$F$137,"1",$H$2:$H$137,"3")</f>
        <v>2</v>
      </c>
      <c r="S17">
        <f>COUNTIFS($F$2:$F$137,"1",$H$2:$H$137,"4")</f>
        <v>5</v>
      </c>
      <c r="T17">
        <f>COUNTIFS($F$2:$F$137,"1",$H$2:$H$137,"5")</f>
        <v>2</v>
      </c>
      <c r="U17" s="56">
        <f>SUM(P17:T17)</f>
        <v>10</v>
      </c>
      <c r="V17" s="43"/>
      <c r="X17" s="42">
        <v>1</v>
      </c>
      <c r="Y17">
        <f t="shared" ref="Y17:AC19" si="6">$U17*P$20/$U$20</f>
        <v>7.3529411764705885E-2</v>
      </c>
      <c r="Z17">
        <f t="shared" si="6"/>
        <v>0.58823529411764708</v>
      </c>
      <c r="AA17">
        <f t="shared" si="6"/>
        <v>0.95588235294117652</v>
      </c>
      <c r="AB17">
        <f t="shared" si="6"/>
        <v>4.2647058823529411</v>
      </c>
      <c r="AC17">
        <f t="shared" si="6"/>
        <v>4.117647058823529</v>
      </c>
      <c r="AD17" s="58">
        <f>SUM(Y17:AC17)</f>
        <v>10</v>
      </c>
      <c r="AE17" s="43"/>
      <c r="AG17" s="42">
        <v>1</v>
      </c>
      <c r="AH17" s="3">
        <f t="shared" ref="AH17:AL19" si="7">(P17-Y17)^2/Y17</f>
        <v>7.3529411764705885E-2</v>
      </c>
      <c r="AI17" s="3">
        <f t="shared" si="7"/>
        <v>0.28823529411764703</v>
      </c>
      <c r="AJ17" s="3">
        <f t="shared" si="7"/>
        <v>1.1404977375565608</v>
      </c>
      <c r="AK17" s="3">
        <f t="shared" si="7"/>
        <v>0.12677484787018259</v>
      </c>
      <c r="AL17" s="3">
        <f t="shared" si="7"/>
        <v>1.0890756302521005</v>
      </c>
      <c r="AM17" s="51">
        <f>SUM(AH17:AL17)</f>
        <v>2.7181129215611968</v>
      </c>
      <c r="AN17" s="44"/>
      <c r="AP17" s="2" t="s">
        <v>202</v>
      </c>
      <c r="AQ17" s="57">
        <f>SUM(AH17:AL19)</f>
        <v>4.1473535204979379</v>
      </c>
    </row>
    <row r="18" spans="1:44" ht="15.6" x14ac:dyDescent="0.3">
      <c r="A18">
        <v>5</v>
      </c>
      <c r="B18">
        <v>2</v>
      </c>
      <c r="C18">
        <v>2</v>
      </c>
      <c r="D18">
        <v>4</v>
      </c>
      <c r="E18">
        <v>2</v>
      </c>
      <c r="F18">
        <v>1</v>
      </c>
      <c r="G18">
        <v>5</v>
      </c>
      <c r="H18">
        <v>3</v>
      </c>
      <c r="I18">
        <v>4</v>
      </c>
      <c r="J18">
        <v>3</v>
      </c>
      <c r="K18">
        <v>2</v>
      </c>
      <c r="L18">
        <v>1</v>
      </c>
      <c r="O18" s="42">
        <v>2</v>
      </c>
      <c r="P18">
        <f>COUNTIFS($F$2:$F$137,"2",$H$2:$H$137,"1")</f>
        <v>1</v>
      </c>
      <c r="Q18">
        <f>COUNTIFS($F$2:$F$137,"2",$H$2:$H$137,"2")</f>
        <v>6</v>
      </c>
      <c r="R18">
        <f>COUNTIFS($F$2:$F$137,"2",$H$2:$H$137,"3")</f>
        <v>8</v>
      </c>
      <c r="S18">
        <f>COUNTIFS($F$2:$F$137,"2",$H$2:$H$137,"4")</f>
        <v>44</v>
      </c>
      <c r="T18">
        <f>COUNTIFS($F$2:$F$137,"2",$H$2:$H$137,"5")</f>
        <v>42</v>
      </c>
      <c r="U18" s="56">
        <f>SUM(P18:T18)</f>
        <v>101</v>
      </c>
      <c r="V18" s="43"/>
      <c r="X18" s="42">
        <v>2</v>
      </c>
      <c r="Y18">
        <f t="shared" si="6"/>
        <v>0.74264705882352944</v>
      </c>
      <c r="Z18">
        <f t="shared" si="6"/>
        <v>5.9411764705882355</v>
      </c>
      <c r="AA18">
        <f t="shared" si="6"/>
        <v>9.6544117647058822</v>
      </c>
      <c r="AB18">
        <f t="shared" si="6"/>
        <v>43.073529411764703</v>
      </c>
      <c r="AC18">
        <f t="shared" si="6"/>
        <v>41.588235294117645</v>
      </c>
      <c r="AD18" s="58">
        <f>SUM(Y18:AC18)</f>
        <v>101</v>
      </c>
      <c r="AE18" s="43"/>
      <c r="AG18" s="42">
        <v>2</v>
      </c>
      <c r="AH18" s="3">
        <f t="shared" si="7"/>
        <v>8.918171228887592E-2</v>
      </c>
      <c r="AI18" s="3">
        <f t="shared" si="7"/>
        <v>5.8241118229469585E-4</v>
      </c>
      <c r="AJ18" s="3">
        <f t="shared" si="7"/>
        <v>0.28350544330451144</v>
      </c>
      <c r="AK18" s="3">
        <f t="shared" si="7"/>
        <v>1.9927499849376546E-2</v>
      </c>
      <c r="AL18" s="3">
        <f t="shared" si="7"/>
        <v>4.0768782760629415E-3</v>
      </c>
      <c r="AM18" s="58">
        <f>SUM(AH18:AL18)</f>
        <v>0.39727394490112156</v>
      </c>
      <c r="AN18" s="43"/>
      <c r="AP18" s="2" t="s">
        <v>203</v>
      </c>
      <c r="AQ18" s="50">
        <v>15.51</v>
      </c>
    </row>
    <row r="19" spans="1:44" ht="15.6" x14ac:dyDescent="0.3">
      <c r="A19">
        <v>4</v>
      </c>
      <c r="B19">
        <v>2</v>
      </c>
      <c r="C19">
        <v>3</v>
      </c>
      <c r="D19">
        <v>3</v>
      </c>
      <c r="E19">
        <v>4</v>
      </c>
      <c r="F19">
        <v>2</v>
      </c>
      <c r="G19">
        <v>3</v>
      </c>
      <c r="H19">
        <v>4</v>
      </c>
      <c r="I19">
        <v>5</v>
      </c>
      <c r="J19">
        <v>4</v>
      </c>
      <c r="K19">
        <v>5</v>
      </c>
      <c r="L19">
        <v>4</v>
      </c>
      <c r="O19" s="42">
        <v>3</v>
      </c>
      <c r="P19">
        <f>COUNTIFS($F$2:$F$137,"3",$H$2:$H$137,"1")</f>
        <v>0</v>
      </c>
      <c r="Q19">
        <f>COUNTIFS($F$2:$F$137,"3",$H$2:$H$137,"2")</f>
        <v>1</v>
      </c>
      <c r="R19">
        <f>COUNTIFS($F$2:$F$137,"3",$H$2:$H$137,"3")</f>
        <v>3</v>
      </c>
      <c r="S19">
        <f>COUNTIFS($F$2:$F$137,"3",$H$2:$H$137,"4")</f>
        <v>9</v>
      </c>
      <c r="T19">
        <f>COUNTIFS($F$2:$F$137,"3",$H$2:$H$137,"5")</f>
        <v>12</v>
      </c>
      <c r="U19" s="56">
        <f>SUM(P19:T19)</f>
        <v>25</v>
      </c>
      <c r="V19" s="43"/>
      <c r="X19" s="42">
        <v>3</v>
      </c>
      <c r="Y19">
        <f t="shared" si="6"/>
        <v>0.18382352941176472</v>
      </c>
      <c r="Z19">
        <f t="shared" si="6"/>
        <v>1.4705882352941178</v>
      </c>
      <c r="AA19">
        <f t="shared" si="6"/>
        <v>2.3897058823529411</v>
      </c>
      <c r="AB19">
        <f t="shared" si="6"/>
        <v>10.661764705882353</v>
      </c>
      <c r="AC19">
        <f t="shared" si="6"/>
        <v>10.294117647058824</v>
      </c>
      <c r="AD19" s="58">
        <f>SUM(Y19:AC19)</f>
        <v>25</v>
      </c>
      <c r="AE19" s="43"/>
      <c r="AG19" s="42">
        <v>3</v>
      </c>
      <c r="AH19" s="3">
        <f t="shared" si="7"/>
        <v>0.18382352941176475</v>
      </c>
      <c r="AI19" s="3">
        <f t="shared" si="7"/>
        <v>0.15058823529411769</v>
      </c>
      <c r="AJ19" s="3">
        <f t="shared" si="7"/>
        <v>0.15585972850678737</v>
      </c>
      <c r="AK19" s="3">
        <f t="shared" si="7"/>
        <v>0.25900608519269785</v>
      </c>
      <c r="AL19" s="3">
        <f t="shared" si="7"/>
        <v>0.28268907563025181</v>
      </c>
      <c r="AM19" s="58">
        <f>SUM(AH19:AL19)</f>
        <v>1.0319666540356194</v>
      </c>
      <c r="AN19" s="43"/>
      <c r="AP19" s="2" t="s">
        <v>206</v>
      </c>
      <c r="AQ19">
        <f>_xlfn.CHISQ.DIST.RT(AQ17,AQ16)</f>
        <v>0.84358989439873389</v>
      </c>
      <c r="AR19" t="s">
        <v>220</v>
      </c>
    </row>
    <row r="20" spans="1:44" ht="18" x14ac:dyDescent="0.35">
      <c r="A20">
        <v>5</v>
      </c>
      <c r="B20">
        <v>2</v>
      </c>
      <c r="C20">
        <v>3</v>
      </c>
      <c r="D20">
        <v>5</v>
      </c>
      <c r="E20">
        <v>4</v>
      </c>
      <c r="F20">
        <v>2</v>
      </c>
      <c r="G20">
        <v>4</v>
      </c>
      <c r="H20">
        <v>5</v>
      </c>
      <c r="I20">
        <v>4</v>
      </c>
      <c r="J20">
        <v>2</v>
      </c>
      <c r="K20">
        <v>4</v>
      </c>
      <c r="L20">
        <v>2</v>
      </c>
      <c r="O20" s="42"/>
      <c r="P20" s="51">
        <f>SUM(P17:P19)</f>
        <v>1</v>
      </c>
      <c r="Q20" s="51">
        <f t="shared" ref="Q20:U20" si="8">SUM(Q17:Q19)</f>
        <v>8</v>
      </c>
      <c r="R20" s="51">
        <f t="shared" si="8"/>
        <v>13</v>
      </c>
      <c r="S20" s="51">
        <f t="shared" si="8"/>
        <v>58</v>
      </c>
      <c r="T20" s="51">
        <f t="shared" si="8"/>
        <v>56</v>
      </c>
      <c r="U20" s="46">
        <f t="shared" si="8"/>
        <v>136</v>
      </c>
      <c r="V20" s="43"/>
      <c r="X20" s="61"/>
      <c r="Y20" s="51">
        <f>SUM(Y17:Y19)</f>
        <v>1</v>
      </c>
      <c r="Z20" s="51">
        <f t="shared" ref="Z20:AD20" si="9">SUM(Z17:Z19)</f>
        <v>8</v>
      </c>
      <c r="AA20" s="51">
        <f t="shared" si="9"/>
        <v>13</v>
      </c>
      <c r="AB20" s="51">
        <f t="shared" si="9"/>
        <v>58</v>
      </c>
      <c r="AC20" s="51">
        <f t="shared" si="9"/>
        <v>56</v>
      </c>
      <c r="AD20" s="46">
        <f t="shared" si="9"/>
        <v>136</v>
      </c>
      <c r="AE20" s="43"/>
      <c r="AG20" s="61"/>
      <c r="AH20" s="51">
        <f>SUM(AH17:AH19)</f>
        <v>0.34653465346534651</v>
      </c>
      <c r="AI20" s="51">
        <f t="shared" ref="AI20:AM20" si="10">SUM(AI17:AI19)</f>
        <v>0.43940594059405941</v>
      </c>
      <c r="AJ20" s="51">
        <f t="shared" si="10"/>
        <v>1.5798629093678596</v>
      </c>
      <c r="AK20" s="51">
        <f t="shared" si="10"/>
        <v>0.405708432912257</v>
      </c>
      <c r="AL20" s="51">
        <f t="shared" si="10"/>
        <v>1.3758415841584153</v>
      </c>
      <c r="AM20" s="46">
        <f t="shared" si="10"/>
        <v>4.1473535204979379</v>
      </c>
      <c r="AN20" s="43"/>
      <c r="AP20" t="s">
        <v>210</v>
      </c>
    </row>
    <row r="21" spans="1:44" ht="18" x14ac:dyDescent="0.35">
      <c r="A21">
        <v>5</v>
      </c>
      <c r="B21">
        <v>2</v>
      </c>
      <c r="C21">
        <v>1</v>
      </c>
      <c r="D21">
        <v>5</v>
      </c>
      <c r="E21">
        <v>1</v>
      </c>
      <c r="F21">
        <v>2</v>
      </c>
      <c r="G21">
        <v>4</v>
      </c>
      <c r="H21">
        <v>4</v>
      </c>
      <c r="I21">
        <v>5</v>
      </c>
      <c r="J21">
        <v>4</v>
      </c>
      <c r="K21">
        <v>5</v>
      </c>
      <c r="L21">
        <v>3</v>
      </c>
      <c r="O21" s="42"/>
      <c r="V21" s="43"/>
      <c r="X21" s="61"/>
      <c r="Y21" s="54"/>
      <c r="Z21" s="54"/>
      <c r="AA21" s="54"/>
      <c r="AB21" s="54"/>
      <c r="AC21" s="54"/>
      <c r="AD21" s="46"/>
      <c r="AE21" s="43"/>
      <c r="AG21" s="61"/>
      <c r="AH21" s="51"/>
      <c r="AI21" s="51"/>
      <c r="AJ21" s="51"/>
      <c r="AK21" s="51"/>
      <c r="AL21" s="51"/>
      <c r="AM21" s="45"/>
      <c r="AN21" s="43"/>
      <c r="AP21" s="2" t="s">
        <v>299</v>
      </c>
      <c r="AQ21" s="50">
        <f>SQRT(AQ17/($AQ$9*$AQ$10))</f>
        <v>0.12348126674570832</v>
      </c>
      <c r="AR21" t="s">
        <v>337</v>
      </c>
    </row>
    <row r="22" spans="1:44" ht="15.6" x14ac:dyDescent="0.3">
      <c r="A22">
        <v>3</v>
      </c>
      <c r="B22">
        <v>2</v>
      </c>
      <c r="C22">
        <v>2</v>
      </c>
      <c r="D22">
        <v>3</v>
      </c>
      <c r="E22">
        <v>3</v>
      </c>
      <c r="F22">
        <v>2</v>
      </c>
      <c r="G22">
        <v>1</v>
      </c>
      <c r="H22">
        <v>4</v>
      </c>
      <c r="I22">
        <v>4</v>
      </c>
      <c r="J22">
        <v>2</v>
      </c>
      <c r="K22">
        <v>4</v>
      </c>
      <c r="L22">
        <v>2</v>
      </c>
      <c r="O22" s="42"/>
      <c r="U22" s="43"/>
      <c r="V22" s="43"/>
      <c r="X22" s="61"/>
      <c r="AD22" s="43"/>
      <c r="AE22" s="43"/>
      <c r="AG22" s="61"/>
      <c r="AM22" s="45"/>
      <c r="AN22" s="43"/>
    </row>
    <row r="23" spans="1:44" ht="18" x14ac:dyDescent="0.35">
      <c r="A23">
        <v>4</v>
      </c>
      <c r="B23">
        <v>2</v>
      </c>
      <c r="C23">
        <v>2</v>
      </c>
      <c r="D23">
        <v>4</v>
      </c>
      <c r="E23">
        <v>2</v>
      </c>
      <c r="F23">
        <v>2</v>
      </c>
      <c r="G23">
        <v>4</v>
      </c>
      <c r="H23">
        <v>5</v>
      </c>
      <c r="I23">
        <v>5</v>
      </c>
      <c r="J23">
        <v>4</v>
      </c>
      <c r="K23">
        <v>4</v>
      </c>
      <c r="L23">
        <v>4</v>
      </c>
      <c r="P23" s="43"/>
      <c r="Q23" s="43"/>
      <c r="R23" s="43"/>
      <c r="S23" s="43"/>
      <c r="T23" s="43"/>
      <c r="U23" s="48"/>
      <c r="V23" s="46"/>
      <c r="Y23" s="43"/>
      <c r="Z23" s="43"/>
      <c r="AA23" s="43"/>
      <c r="AB23" s="43"/>
      <c r="AC23" s="43"/>
      <c r="AD23" s="48"/>
      <c r="AE23" s="43"/>
      <c r="AH23" s="48"/>
      <c r="AI23" s="48"/>
      <c r="AJ23" s="48"/>
      <c r="AK23" s="48"/>
      <c r="AL23" s="48"/>
      <c r="AM23" s="46"/>
      <c r="AN23" s="43"/>
    </row>
    <row r="24" spans="1:44" ht="18" x14ac:dyDescent="0.35">
      <c r="A24">
        <v>4</v>
      </c>
      <c r="B24">
        <v>2</v>
      </c>
      <c r="C24">
        <v>2</v>
      </c>
      <c r="D24">
        <v>4</v>
      </c>
      <c r="E24">
        <v>2</v>
      </c>
      <c r="F24">
        <v>3</v>
      </c>
      <c r="G24">
        <v>2</v>
      </c>
      <c r="H24">
        <v>4</v>
      </c>
      <c r="I24">
        <v>5</v>
      </c>
      <c r="J24">
        <v>5</v>
      </c>
      <c r="K24">
        <v>4</v>
      </c>
      <c r="L24">
        <v>5</v>
      </c>
      <c r="AN24" s="46"/>
    </row>
    <row r="25" spans="1:44" x14ac:dyDescent="0.3">
      <c r="A25">
        <v>2</v>
      </c>
      <c r="B25">
        <v>2</v>
      </c>
      <c r="C25">
        <v>2</v>
      </c>
      <c r="D25">
        <v>1</v>
      </c>
      <c r="E25">
        <v>2</v>
      </c>
      <c r="F25">
        <v>3</v>
      </c>
      <c r="G25">
        <v>4</v>
      </c>
      <c r="H25">
        <v>5</v>
      </c>
      <c r="I25">
        <v>5</v>
      </c>
      <c r="J25">
        <v>3</v>
      </c>
      <c r="K25">
        <v>4</v>
      </c>
      <c r="L25">
        <v>3</v>
      </c>
    </row>
    <row r="26" spans="1:44" x14ac:dyDescent="0.3">
      <c r="A26">
        <v>3</v>
      </c>
      <c r="B26">
        <v>2</v>
      </c>
      <c r="C26">
        <v>2</v>
      </c>
      <c r="D26">
        <v>2</v>
      </c>
      <c r="E26">
        <v>2</v>
      </c>
      <c r="F26">
        <v>3</v>
      </c>
      <c r="G26">
        <v>3</v>
      </c>
      <c r="H26">
        <v>4</v>
      </c>
      <c r="I26">
        <v>4</v>
      </c>
      <c r="J26">
        <v>3</v>
      </c>
      <c r="K26">
        <v>3</v>
      </c>
      <c r="L26">
        <v>4</v>
      </c>
    </row>
    <row r="27" spans="1:44" x14ac:dyDescent="0.3">
      <c r="A27">
        <v>3</v>
      </c>
      <c r="B27">
        <v>2</v>
      </c>
      <c r="C27">
        <v>2</v>
      </c>
      <c r="D27">
        <v>2</v>
      </c>
      <c r="E27">
        <v>2</v>
      </c>
      <c r="F27">
        <v>2</v>
      </c>
      <c r="G27">
        <v>3</v>
      </c>
      <c r="H27">
        <v>4</v>
      </c>
      <c r="I27">
        <v>4</v>
      </c>
      <c r="J27">
        <v>2</v>
      </c>
      <c r="K27">
        <v>4</v>
      </c>
      <c r="L27">
        <v>4</v>
      </c>
    </row>
    <row r="28" spans="1:44" x14ac:dyDescent="0.3">
      <c r="A28">
        <v>3</v>
      </c>
      <c r="B28">
        <v>2</v>
      </c>
      <c r="C28">
        <v>2</v>
      </c>
      <c r="D28">
        <v>2</v>
      </c>
      <c r="E28">
        <v>4</v>
      </c>
      <c r="F28">
        <v>3</v>
      </c>
      <c r="G28">
        <v>5</v>
      </c>
      <c r="H28">
        <v>5</v>
      </c>
      <c r="I28">
        <v>5</v>
      </c>
      <c r="J28">
        <v>3</v>
      </c>
      <c r="K28">
        <v>5</v>
      </c>
      <c r="L28">
        <v>5</v>
      </c>
    </row>
    <row r="29" spans="1:44" x14ac:dyDescent="0.3">
      <c r="A29">
        <v>3</v>
      </c>
      <c r="B29">
        <v>2</v>
      </c>
      <c r="C29">
        <v>1</v>
      </c>
      <c r="D29">
        <v>2</v>
      </c>
      <c r="E29">
        <v>1</v>
      </c>
      <c r="F29">
        <v>2</v>
      </c>
      <c r="G29">
        <v>1</v>
      </c>
      <c r="H29">
        <v>5</v>
      </c>
      <c r="I29">
        <v>4</v>
      </c>
      <c r="J29">
        <v>3</v>
      </c>
      <c r="K29">
        <v>5</v>
      </c>
      <c r="L29">
        <v>3</v>
      </c>
      <c r="P29" s="106" t="s">
        <v>344</v>
      </c>
      <c r="Q29" s="106"/>
      <c r="R29" s="106"/>
      <c r="S29" s="106"/>
      <c r="T29" s="106"/>
      <c r="U29" s="106"/>
      <c r="Y29" s="106" t="s">
        <v>362</v>
      </c>
      <c r="Z29" s="106"/>
      <c r="AA29" s="106"/>
      <c r="AB29" s="106"/>
      <c r="AC29" s="106"/>
      <c r="AD29" s="106"/>
      <c r="AG29" s="106" t="s">
        <v>354</v>
      </c>
      <c r="AH29" s="106"/>
      <c r="AI29" s="106"/>
      <c r="AJ29" s="106"/>
      <c r="AK29" s="106"/>
      <c r="AL29" s="106"/>
      <c r="AM29" s="106"/>
      <c r="AP29" s="2" t="s">
        <v>204</v>
      </c>
      <c r="AQ29">
        <v>0.05</v>
      </c>
    </row>
    <row r="30" spans="1:44" ht="15.6" x14ac:dyDescent="0.3">
      <c r="A30">
        <v>3</v>
      </c>
      <c r="B30">
        <v>2</v>
      </c>
      <c r="C30">
        <v>2</v>
      </c>
      <c r="D30">
        <v>2</v>
      </c>
      <c r="E30">
        <v>2</v>
      </c>
      <c r="F30">
        <v>2</v>
      </c>
      <c r="G30">
        <v>5</v>
      </c>
      <c r="H30">
        <v>2</v>
      </c>
      <c r="I30">
        <v>5</v>
      </c>
      <c r="J30">
        <v>5</v>
      </c>
      <c r="K30">
        <v>5</v>
      </c>
      <c r="L30">
        <v>5</v>
      </c>
      <c r="O30" s="11" t="s">
        <v>339</v>
      </c>
      <c r="P30" s="10">
        <v>1</v>
      </c>
      <c r="Q30" s="10">
        <v>2</v>
      </c>
      <c r="R30" s="10">
        <v>3</v>
      </c>
      <c r="S30" s="10">
        <v>4</v>
      </c>
      <c r="T30" s="10">
        <v>5</v>
      </c>
      <c r="U30" s="10"/>
      <c r="V30" s="44"/>
      <c r="X30" s="11" t="s">
        <v>339</v>
      </c>
      <c r="Y30" s="10">
        <v>1</v>
      </c>
      <c r="Z30" s="10">
        <v>2</v>
      </c>
      <c r="AA30" s="10">
        <v>3</v>
      </c>
      <c r="AB30" s="10">
        <v>4</v>
      </c>
      <c r="AC30" s="10">
        <v>5</v>
      </c>
      <c r="AD30" s="10"/>
      <c r="AE30" s="52"/>
      <c r="AG30" s="11" t="s">
        <v>339</v>
      </c>
      <c r="AH30" s="10">
        <v>1</v>
      </c>
      <c r="AI30" s="10">
        <v>2</v>
      </c>
      <c r="AJ30" s="10">
        <v>3</v>
      </c>
      <c r="AK30" s="10">
        <v>4</v>
      </c>
      <c r="AL30" s="10">
        <v>5</v>
      </c>
      <c r="AM30" s="10"/>
      <c r="AP30" s="2" t="s">
        <v>205</v>
      </c>
      <c r="AQ30">
        <f>2*4</f>
        <v>8</v>
      </c>
    </row>
    <row r="31" spans="1:44" ht="15.6" x14ac:dyDescent="0.3">
      <c r="A31">
        <v>5</v>
      </c>
      <c r="B31">
        <v>2</v>
      </c>
      <c r="C31">
        <v>2</v>
      </c>
      <c r="D31">
        <v>5</v>
      </c>
      <c r="E31">
        <v>2</v>
      </c>
      <c r="F31">
        <v>2</v>
      </c>
      <c r="G31">
        <v>2</v>
      </c>
      <c r="H31">
        <v>2</v>
      </c>
      <c r="I31">
        <v>4</v>
      </c>
      <c r="J31">
        <v>1</v>
      </c>
      <c r="K31">
        <v>2</v>
      </c>
      <c r="L31">
        <v>2</v>
      </c>
      <c r="O31" s="42">
        <v>1</v>
      </c>
      <c r="P31">
        <f>COUNTIFS($F$2:$F$137,"1",$I$2:$I$137,"1")</f>
        <v>0</v>
      </c>
      <c r="Q31">
        <f>COUNTIFS($F$2:$F$137,"1",$I$2:$I$137,"2")</f>
        <v>0</v>
      </c>
      <c r="R31">
        <f>COUNTIFS($F$2:$F$137,"1",$I$2:$I$137,"3")</f>
        <v>1</v>
      </c>
      <c r="S31">
        <f>COUNTIFS($F$2:$F$137,"1",$I$2:$I$137,"4")</f>
        <v>6</v>
      </c>
      <c r="T31">
        <f>COUNTIFS($F$2:$F$137,"1",$I$2:$I$137,"5")</f>
        <v>3</v>
      </c>
      <c r="U31" s="56">
        <f>SUM(P31:T31)</f>
        <v>10</v>
      </c>
      <c r="V31" s="43"/>
      <c r="X31" s="42">
        <v>1</v>
      </c>
      <c r="Y31">
        <f t="shared" ref="Y31:AC33" si="11">$U31*P$34/$U$34</f>
        <v>7.3529411764705885E-2</v>
      </c>
      <c r="Z31">
        <f t="shared" si="11"/>
        <v>7.3529411764705885E-2</v>
      </c>
      <c r="AA31">
        <f t="shared" si="11"/>
        <v>0.80882352941176472</v>
      </c>
      <c r="AB31">
        <f t="shared" si="11"/>
        <v>5.2205882352941178</v>
      </c>
      <c r="AC31">
        <f t="shared" si="11"/>
        <v>3.8235294117647061</v>
      </c>
      <c r="AD31" s="58">
        <f>SUM(Y31:AC31)</f>
        <v>10</v>
      </c>
      <c r="AE31" s="43"/>
      <c r="AG31" s="42">
        <v>1</v>
      </c>
      <c r="AH31">
        <f t="shared" ref="AH31:AL33" si="12">(P31-Y31)^2/Y31</f>
        <v>7.3529411764705885E-2</v>
      </c>
      <c r="AI31">
        <f t="shared" si="12"/>
        <v>7.3529411764705885E-2</v>
      </c>
      <c r="AJ31">
        <f t="shared" si="12"/>
        <v>4.5187165775401064E-2</v>
      </c>
      <c r="AK31">
        <f t="shared" si="12"/>
        <v>0.11636288318144156</v>
      </c>
      <c r="AL31">
        <f t="shared" si="12"/>
        <v>0.17737556561085979</v>
      </c>
      <c r="AM31" s="54">
        <f>SUM(AH31:AL31)</f>
        <v>0.48598443809711422</v>
      </c>
      <c r="AN31" s="44"/>
      <c r="AP31" s="2" t="s">
        <v>202</v>
      </c>
      <c r="AQ31" s="10">
        <f>SUM(AH31:AL33)</f>
        <v>1.7825417254618208</v>
      </c>
    </row>
    <row r="32" spans="1:44" ht="15.6" x14ac:dyDescent="0.3">
      <c r="A32">
        <v>6</v>
      </c>
      <c r="B32">
        <v>2</v>
      </c>
      <c r="C32">
        <v>1</v>
      </c>
      <c r="D32">
        <v>5</v>
      </c>
      <c r="E32">
        <v>1</v>
      </c>
      <c r="F32">
        <v>1</v>
      </c>
      <c r="G32">
        <v>5</v>
      </c>
      <c r="H32">
        <v>4</v>
      </c>
      <c r="I32">
        <v>5</v>
      </c>
      <c r="J32">
        <v>5</v>
      </c>
      <c r="K32">
        <v>5</v>
      </c>
      <c r="L32">
        <v>4</v>
      </c>
      <c r="O32" s="42">
        <v>2</v>
      </c>
      <c r="P32">
        <f>COUNTIFS($F$2:$F$137,"2",$I$2:$I$137,"1")</f>
        <v>1</v>
      </c>
      <c r="Q32">
        <f>COUNTIFS($F$2:$F$137,"2",$I$2:$I$137,"2")</f>
        <v>1</v>
      </c>
      <c r="R32">
        <f>COUNTIFS($F$2:$F$137,"2",$I$2:$I$137,"3")</f>
        <v>7</v>
      </c>
      <c r="S32">
        <f>COUNTIFS($F$2:$F$137,"2",$I$2:$I$137,"4")</f>
        <v>53</v>
      </c>
      <c r="T32">
        <f>COUNTIFS($F$2:$F$137,"2",$I$2:$I$137,"5")</f>
        <v>39</v>
      </c>
      <c r="U32" s="56">
        <f>SUM(P32:T32)</f>
        <v>101</v>
      </c>
      <c r="V32" s="43"/>
      <c r="X32" s="42">
        <v>2</v>
      </c>
      <c r="Y32">
        <f t="shared" si="11"/>
        <v>0.74264705882352944</v>
      </c>
      <c r="Z32">
        <f t="shared" si="11"/>
        <v>0.74264705882352944</v>
      </c>
      <c r="AA32">
        <f t="shared" si="11"/>
        <v>8.1691176470588243</v>
      </c>
      <c r="AB32">
        <f t="shared" si="11"/>
        <v>52.727941176470587</v>
      </c>
      <c r="AC32">
        <f t="shared" si="11"/>
        <v>38.617647058823529</v>
      </c>
      <c r="AD32" s="58">
        <f>SUM(Y32:AC32)</f>
        <v>101</v>
      </c>
      <c r="AE32" s="43"/>
      <c r="AG32" s="42">
        <v>2</v>
      </c>
      <c r="AH32">
        <f t="shared" si="12"/>
        <v>8.918171228887592E-2</v>
      </c>
      <c r="AI32">
        <f t="shared" si="12"/>
        <v>8.918171228887592E-2</v>
      </c>
      <c r="AJ32">
        <f t="shared" si="12"/>
        <v>0.16731746704082193</v>
      </c>
      <c r="AK32">
        <f t="shared" si="12"/>
        <v>1.403733993946218E-3</v>
      </c>
      <c r="AL32">
        <f t="shared" si="12"/>
        <v>3.7856726849155586E-3</v>
      </c>
      <c r="AM32" s="54">
        <f>SUM(AH32:AL32)</f>
        <v>0.35087029829743555</v>
      </c>
      <c r="AN32" s="43"/>
      <c r="AP32" s="2" t="s">
        <v>203</v>
      </c>
      <c r="AQ32" s="50">
        <v>15.51</v>
      </c>
    </row>
    <row r="33" spans="1:44" ht="15.6" x14ac:dyDescent="0.3">
      <c r="A33">
        <v>3</v>
      </c>
      <c r="B33">
        <v>2</v>
      </c>
      <c r="C33">
        <v>2</v>
      </c>
      <c r="D33">
        <v>2</v>
      </c>
      <c r="E33">
        <v>2</v>
      </c>
      <c r="F33">
        <v>2</v>
      </c>
      <c r="G33">
        <v>3</v>
      </c>
      <c r="H33">
        <v>5</v>
      </c>
      <c r="I33">
        <v>4</v>
      </c>
      <c r="J33">
        <v>3</v>
      </c>
      <c r="K33">
        <v>4</v>
      </c>
      <c r="L33">
        <v>3</v>
      </c>
      <c r="O33" s="42">
        <v>3</v>
      </c>
      <c r="P33">
        <f>COUNTIFS($F$2:$F$137,"3",$I$2:$I$137,"1")</f>
        <v>0</v>
      </c>
      <c r="Q33">
        <f>COUNTIFS($F$2:$F$137,"3",$I$2:$I$137,"2")</f>
        <v>0</v>
      </c>
      <c r="R33">
        <f>COUNTIFS($F$2:$F$137,"3",$I$2:$I$137,"3")</f>
        <v>3</v>
      </c>
      <c r="S33">
        <f>COUNTIFS($F$2:$F$137,"3",$I$2:$I$137,"4")</f>
        <v>12</v>
      </c>
      <c r="T33">
        <f>COUNTIFS($F$2:$F$137,"3",$I$2:$I$137,"5")</f>
        <v>10</v>
      </c>
      <c r="U33" s="56">
        <f>SUM(P33:T33)</f>
        <v>25</v>
      </c>
      <c r="V33" s="43"/>
      <c r="X33" s="42">
        <v>3</v>
      </c>
      <c r="Y33">
        <f t="shared" si="11"/>
        <v>0.18382352941176472</v>
      </c>
      <c r="Z33">
        <f t="shared" si="11"/>
        <v>0.18382352941176472</v>
      </c>
      <c r="AA33">
        <f t="shared" si="11"/>
        <v>2.0220588235294117</v>
      </c>
      <c r="AB33">
        <f t="shared" si="11"/>
        <v>13.051470588235293</v>
      </c>
      <c r="AC33">
        <f t="shared" si="11"/>
        <v>9.5588235294117645</v>
      </c>
      <c r="AD33" s="58">
        <f>SUM(Y33:AC33)</f>
        <v>25</v>
      </c>
      <c r="AE33" s="43"/>
      <c r="AG33" s="42">
        <v>3</v>
      </c>
      <c r="AH33">
        <f t="shared" si="12"/>
        <v>0.18382352941176475</v>
      </c>
      <c r="AI33">
        <f>(Q33-Z33)^2/Z33</f>
        <v>0.18382352941176475</v>
      </c>
      <c r="AJ33">
        <f>(R33-AA33)^2/AA33</f>
        <v>0.47296791443850272</v>
      </c>
      <c r="AK33">
        <f>(S33-AB33)^2/AB33</f>
        <v>8.4710024855012334E-2</v>
      </c>
      <c r="AL33">
        <f>(T33-AC33)^2/AC33</f>
        <v>2.0361990950226262E-2</v>
      </c>
      <c r="AM33" s="54">
        <f>SUM(AH33:AL33)</f>
        <v>0.94568698906727089</v>
      </c>
      <c r="AN33" s="43"/>
      <c r="AP33" s="2" t="s">
        <v>206</v>
      </c>
      <c r="AQ33">
        <f>_xlfn.CHISQ.DIST.RT(AQ31,AQ30)</f>
        <v>0.98696810136403568</v>
      </c>
      <c r="AR33" t="s">
        <v>220</v>
      </c>
    </row>
    <row r="34" spans="1:44" ht="15.6" x14ac:dyDescent="0.3">
      <c r="A34">
        <v>3</v>
      </c>
      <c r="B34">
        <v>2</v>
      </c>
      <c r="C34">
        <v>2</v>
      </c>
      <c r="D34">
        <v>1</v>
      </c>
      <c r="E34">
        <v>2</v>
      </c>
      <c r="F34">
        <v>2</v>
      </c>
      <c r="G34">
        <v>5</v>
      </c>
      <c r="H34">
        <v>4</v>
      </c>
      <c r="I34">
        <v>4</v>
      </c>
      <c r="J34">
        <v>3</v>
      </c>
      <c r="K34">
        <v>5</v>
      </c>
      <c r="L34">
        <v>4</v>
      </c>
      <c r="O34" s="42"/>
      <c r="P34" s="54">
        <f>SUM(P31:P33)</f>
        <v>1</v>
      </c>
      <c r="Q34" s="54">
        <f t="shared" ref="Q34:U34" si="13">SUM(Q31:Q33)</f>
        <v>1</v>
      </c>
      <c r="R34" s="54">
        <f t="shared" si="13"/>
        <v>11</v>
      </c>
      <c r="S34" s="54">
        <f t="shared" si="13"/>
        <v>71</v>
      </c>
      <c r="T34" s="54">
        <f t="shared" si="13"/>
        <v>52</v>
      </c>
      <c r="U34" s="45">
        <f t="shared" si="13"/>
        <v>136</v>
      </c>
      <c r="V34" s="43"/>
      <c r="X34" s="61"/>
      <c r="Y34" s="51">
        <f>SUM(Y31:Y33)</f>
        <v>1</v>
      </c>
      <c r="Z34" s="51">
        <f t="shared" ref="Z34:AD34" si="14">SUM(Z31:Z33)</f>
        <v>1</v>
      </c>
      <c r="AA34" s="51">
        <f t="shared" si="14"/>
        <v>11</v>
      </c>
      <c r="AB34" s="51">
        <f t="shared" si="14"/>
        <v>71</v>
      </c>
      <c r="AC34" s="51">
        <f t="shared" si="14"/>
        <v>52</v>
      </c>
      <c r="AD34" s="45">
        <f t="shared" si="14"/>
        <v>136</v>
      </c>
      <c r="AE34" s="43"/>
      <c r="AG34" s="61"/>
      <c r="AH34" s="51">
        <f>SUM(AH31:AH33)</f>
        <v>0.34653465346534651</v>
      </c>
      <c r="AI34" s="51">
        <f t="shared" ref="AI34:AM34" si="15">SUM(AI31:AI33)</f>
        <v>0.34653465346534651</v>
      </c>
      <c r="AJ34" s="51">
        <f t="shared" si="15"/>
        <v>0.68547254725472573</v>
      </c>
      <c r="AK34" s="51">
        <f t="shared" si="15"/>
        <v>0.20247664203040011</v>
      </c>
      <c r="AL34" s="51">
        <f t="shared" si="15"/>
        <v>0.20152322924600161</v>
      </c>
      <c r="AM34" s="45">
        <f t="shared" si="15"/>
        <v>1.7825417254618205</v>
      </c>
      <c r="AN34" s="43"/>
      <c r="AP34" t="s">
        <v>210</v>
      </c>
    </row>
    <row r="35" spans="1:44" ht="15.6" x14ac:dyDescent="0.3">
      <c r="A35">
        <v>5</v>
      </c>
      <c r="B35">
        <v>2</v>
      </c>
      <c r="C35">
        <v>3</v>
      </c>
      <c r="D35">
        <v>5</v>
      </c>
      <c r="E35">
        <v>4</v>
      </c>
      <c r="F35">
        <v>1</v>
      </c>
      <c r="G35">
        <v>4</v>
      </c>
      <c r="H35">
        <v>5</v>
      </c>
      <c r="I35">
        <v>5</v>
      </c>
      <c r="J35">
        <v>4</v>
      </c>
      <c r="K35">
        <v>3</v>
      </c>
      <c r="L35">
        <v>4</v>
      </c>
      <c r="O35" s="42"/>
      <c r="V35" s="43"/>
      <c r="X35" s="61"/>
      <c r="Y35" s="54"/>
      <c r="Z35" s="54"/>
      <c r="AA35" s="54"/>
      <c r="AB35" s="54"/>
      <c r="AC35" s="54"/>
      <c r="AD35" s="45"/>
      <c r="AE35" s="43"/>
      <c r="AG35" s="61"/>
      <c r="AH35" s="54"/>
      <c r="AI35" s="54"/>
      <c r="AJ35" s="54"/>
      <c r="AK35" s="54"/>
      <c r="AL35" s="54"/>
      <c r="AM35" s="45"/>
      <c r="AN35" s="43"/>
      <c r="AP35" s="2" t="s">
        <v>299</v>
      </c>
      <c r="AQ35" s="50">
        <f>SQRT(AQ31/($AQ$9*$AQ$10))</f>
        <v>8.0953457158805614E-2</v>
      </c>
      <c r="AR35" t="s">
        <v>337</v>
      </c>
    </row>
    <row r="36" spans="1:44" ht="15.6" x14ac:dyDescent="0.3">
      <c r="A36">
        <v>5</v>
      </c>
      <c r="B36">
        <v>2</v>
      </c>
      <c r="C36">
        <v>2</v>
      </c>
      <c r="D36">
        <v>5</v>
      </c>
      <c r="E36">
        <v>2</v>
      </c>
      <c r="F36">
        <v>2</v>
      </c>
      <c r="G36">
        <v>4</v>
      </c>
      <c r="H36">
        <v>5</v>
      </c>
      <c r="I36">
        <v>4</v>
      </c>
      <c r="J36">
        <v>3</v>
      </c>
      <c r="K36">
        <v>5</v>
      </c>
      <c r="L36">
        <v>4</v>
      </c>
      <c r="O36" s="42"/>
      <c r="U36" s="43"/>
      <c r="V36" s="43"/>
      <c r="X36" s="61"/>
      <c r="AD36" s="43"/>
      <c r="AE36" s="43"/>
      <c r="AG36" s="61"/>
      <c r="AM36" s="45"/>
      <c r="AN36" s="43"/>
    </row>
    <row r="37" spans="1:44" ht="18" x14ac:dyDescent="0.35">
      <c r="A37">
        <v>5</v>
      </c>
      <c r="B37">
        <v>2</v>
      </c>
      <c r="C37">
        <v>2</v>
      </c>
      <c r="D37">
        <v>4</v>
      </c>
      <c r="E37">
        <v>4</v>
      </c>
      <c r="F37">
        <v>1</v>
      </c>
      <c r="G37">
        <v>5</v>
      </c>
      <c r="H37">
        <v>4</v>
      </c>
      <c r="I37">
        <v>4</v>
      </c>
      <c r="J37">
        <v>5</v>
      </c>
      <c r="K37">
        <v>4</v>
      </c>
      <c r="L37">
        <v>2</v>
      </c>
      <c r="P37" s="43"/>
      <c r="Q37" s="43"/>
      <c r="R37" s="43"/>
      <c r="S37" s="43"/>
      <c r="T37" s="43"/>
      <c r="U37" s="43"/>
      <c r="V37" s="43"/>
      <c r="Y37" s="43"/>
      <c r="Z37" s="43"/>
      <c r="AA37" s="43"/>
      <c r="AB37" s="43"/>
      <c r="AC37" s="43"/>
      <c r="AD37" s="48"/>
      <c r="AE37" s="43"/>
      <c r="AH37" s="48"/>
      <c r="AI37" s="48"/>
      <c r="AJ37" s="48"/>
      <c r="AK37" s="48"/>
      <c r="AL37" s="48"/>
      <c r="AM37" s="46"/>
      <c r="AN37" s="43"/>
    </row>
    <row r="38" spans="1:44" x14ac:dyDescent="0.3">
      <c r="A38">
        <v>3</v>
      </c>
      <c r="B38">
        <v>2</v>
      </c>
      <c r="C38">
        <v>1</v>
      </c>
      <c r="D38">
        <v>2</v>
      </c>
      <c r="E38">
        <v>1</v>
      </c>
      <c r="F38">
        <v>2</v>
      </c>
      <c r="G38">
        <v>5</v>
      </c>
      <c r="H38">
        <v>5</v>
      </c>
      <c r="I38">
        <v>5</v>
      </c>
      <c r="J38">
        <v>3</v>
      </c>
      <c r="K38">
        <v>4</v>
      </c>
      <c r="L38">
        <v>3</v>
      </c>
    </row>
    <row r="39" spans="1:44" x14ac:dyDescent="0.3">
      <c r="A39">
        <v>6</v>
      </c>
      <c r="B39">
        <v>2</v>
      </c>
      <c r="C39">
        <v>1</v>
      </c>
      <c r="D39">
        <v>5</v>
      </c>
      <c r="E39">
        <v>2</v>
      </c>
      <c r="F39">
        <v>2</v>
      </c>
      <c r="G39">
        <v>5</v>
      </c>
      <c r="H39">
        <v>4</v>
      </c>
      <c r="I39">
        <v>4</v>
      </c>
      <c r="J39">
        <v>5</v>
      </c>
      <c r="K39">
        <v>5</v>
      </c>
      <c r="L39">
        <v>5</v>
      </c>
    </row>
    <row r="40" spans="1:44" x14ac:dyDescent="0.3">
      <c r="A40">
        <v>5</v>
      </c>
      <c r="B40">
        <v>2</v>
      </c>
      <c r="C40">
        <v>3</v>
      </c>
      <c r="D40">
        <v>5</v>
      </c>
      <c r="E40">
        <v>4</v>
      </c>
      <c r="F40">
        <v>2</v>
      </c>
      <c r="G40">
        <v>5</v>
      </c>
      <c r="H40">
        <v>5</v>
      </c>
      <c r="I40">
        <v>5</v>
      </c>
      <c r="J40">
        <v>3</v>
      </c>
      <c r="K40">
        <v>4</v>
      </c>
      <c r="L40">
        <v>4</v>
      </c>
    </row>
    <row r="41" spans="1:44" x14ac:dyDescent="0.3">
      <c r="A41">
        <v>3</v>
      </c>
      <c r="B41">
        <v>2</v>
      </c>
      <c r="C41">
        <v>2</v>
      </c>
      <c r="D41">
        <v>2</v>
      </c>
      <c r="E41">
        <v>2</v>
      </c>
      <c r="F41">
        <v>3</v>
      </c>
      <c r="G41">
        <v>2</v>
      </c>
      <c r="H41">
        <v>2</v>
      </c>
      <c r="I41">
        <v>4</v>
      </c>
      <c r="J41">
        <v>2</v>
      </c>
      <c r="K41">
        <v>4</v>
      </c>
      <c r="L41">
        <v>5</v>
      </c>
    </row>
    <row r="42" spans="1:44" x14ac:dyDescent="0.3">
      <c r="A42">
        <v>6</v>
      </c>
      <c r="B42">
        <v>2</v>
      </c>
      <c r="C42">
        <v>1</v>
      </c>
      <c r="D42">
        <v>5</v>
      </c>
      <c r="E42">
        <v>1</v>
      </c>
      <c r="F42">
        <v>1</v>
      </c>
      <c r="G42">
        <v>2</v>
      </c>
      <c r="H42">
        <v>2</v>
      </c>
      <c r="I42">
        <v>4</v>
      </c>
      <c r="J42">
        <v>2</v>
      </c>
      <c r="K42">
        <v>2</v>
      </c>
      <c r="L42">
        <v>2</v>
      </c>
    </row>
    <row r="43" spans="1:44" x14ac:dyDescent="0.3">
      <c r="A43">
        <v>5</v>
      </c>
      <c r="B43">
        <v>2</v>
      </c>
      <c r="C43">
        <v>1</v>
      </c>
      <c r="D43">
        <v>5</v>
      </c>
      <c r="E43">
        <v>1</v>
      </c>
      <c r="F43">
        <v>2</v>
      </c>
      <c r="G43">
        <v>4</v>
      </c>
      <c r="H43">
        <v>4</v>
      </c>
      <c r="I43">
        <v>4</v>
      </c>
      <c r="J43">
        <v>3</v>
      </c>
      <c r="K43">
        <v>5</v>
      </c>
      <c r="L43">
        <v>2</v>
      </c>
      <c r="P43" s="106" t="s">
        <v>345</v>
      </c>
      <c r="Q43" s="106"/>
      <c r="R43" s="106"/>
      <c r="S43" s="106"/>
      <c r="T43" s="106"/>
      <c r="U43" s="106"/>
      <c r="Y43" s="106" t="s">
        <v>363</v>
      </c>
      <c r="Z43" s="106"/>
      <c r="AA43" s="106"/>
      <c r="AB43" s="106"/>
      <c r="AC43" s="106"/>
      <c r="AD43" s="106"/>
      <c r="AG43" s="106" t="s">
        <v>355</v>
      </c>
      <c r="AH43" s="106"/>
      <c r="AI43" s="106"/>
      <c r="AJ43" s="106"/>
      <c r="AK43" s="106"/>
      <c r="AL43" s="106"/>
      <c r="AM43" s="106"/>
      <c r="AP43" s="2" t="s">
        <v>204</v>
      </c>
      <c r="AQ43">
        <v>0.05</v>
      </c>
    </row>
    <row r="44" spans="1:44" ht="15.6" x14ac:dyDescent="0.3">
      <c r="A44">
        <v>5</v>
      </c>
      <c r="B44">
        <v>1</v>
      </c>
      <c r="C44">
        <v>1</v>
      </c>
      <c r="D44">
        <v>5</v>
      </c>
      <c r="E44">
        <v>1</v>
      </c>
      <c r="F44">
        <v>2</v>
      </c>
      <c r="G44">
        <v>4</v>
      </c>
      <c r="H44">
        <v>5</v>
      </c>
      <c r="I44">
        <v>5</v>
      </c>
      <c r="J44">
        <v>3</v>
      </c>
      <c r="K44">
        <v>3</v>
      </c>
      <c r="L44">
        <v>3</v>
      </c>
      <c r="O44" s="11" t="s">
        <v>339</v>
      </c>
      <c r="P44" s="10">
        <v>1</v>
      </c>
      <c r="Q44" s="10">
        <v>2</v>
      </c>
      <c r="R44" s="10">
        <v>3</v>
      </c>
      <c r="S44" s="10">
        <v>4</v>
      </c>
      <c r="T44" s="10">
        <v>5</v>
      </c>
      <c r="U44" s="10"/>
      <c r="V44" s="44"/>
      <c r="X44" s="11" t="s">
        <v>339</v>
      </c>
      <c r="Y44" s="10">
        <v>1</v>
      </c>
      <c r="Z44" s="10">
        <v>2</v>
      </c>
      <c r="AA44" s="10">
        <v>3</v>
      </c>
      <c r="AB44" s="10">
        <v>4</v>
      </c>
      <c r="AC44" s="10">
        <v>5</v>
      </c>
      <c r="AD44" s="10"/>
      <c r="AE44" s="52"/>
      <c r="AG44" s="11" t="s">
        <v>339</v>
      </c>
      <c r="AH44" s="10">
        <v>1</v>
      </c>
      <c r="AI44" s="10">
        <v>2</v>
      </c>
      <c r="AJ44" s="10">
        <v>3</v>
      </c>
      <c r="AK44" s="10">
        <v>4</v>
      </c>
      <c r="AL44" s="10">
        <v>5</v>
      </c>
      <c r="AM44" s="10"/>
      <c r="AP44" s="2" t="s">
        <v>205</v>
      </c>
      <c r="AQ44">
        <f>2*4</f>
        <v>8</v>
      </c>
    </row>
    <row r="45" spans="1:44" ht="15.6" x14ac:dyDescent="0.3">
      <c r="A45">
        <v>5</v>
      </c>
      <c r="B45">
        <v>2</v>
      </c>
      <c r="C45">
        <v>3</v>
      </c>
      <c r="D45">
        <v>5</v>
      </c>
      <c r="E45">
        <v>3</v>
      </c>
      <c r="F45">
        <v>2</v>
      </c>
      <c r="G45">
        <v>3</v>
      </c>
      <c r="H45">
        <v>4</v>
      </c>
      <c r="I45">
        <v>5</v>
      </c>
      <c r="J45">
        <v>2</v>
      </c>
      <c r="K45">
        <v>2</v>
      </c>
      <c r="L45">
        <v>4</v>
      </c>
      <c r="O45" s="42">
        <v>1</v>
      </c>
      <c r="P45">
        <f>COUNTIFS($F$2:$F$137,"1",$J$2:$J$137,"1")</f>
        <v>0</v>
      </c>
      <c r="Q45">
        <f>COUNTIFS($F$2:$F$137,"1",$J$2:$J$137,"2")</f>
        <v>2</v>
      </c>
      <c r="R45">
        <f>COUNTIFS($F$2:$F$137,"1",$J$2:$J$137,"3")</f>
        <v>3</v>
      </c>
      <c r="S45">
        <f>COUNTIFS($F$2:$F$137,"1",$J$2:$J$137,"4")</f>
        <v>2</v>
      </c>
      <c r="T45">
        <f>COUNTIFS($F$2:$F$137,"1",$J$2:$J$137,"5")</f>
        <v>3</v>
      </c>
      <c r="U45" s="51">
        <f>SUM(P45:T45)</f>
        <v>10</v>
      </c>
      <c r="V45" s="43"/>
      <c r="X45" s="42">
        <v>1</v>
      </c>
      <c r="Y45">
        <f>$U45*P$48/$U$48</f>
        <v>0.29411764705882354</v>
      </c>
      <c r="Z45">
        <f t="shared" ref="Z45:AC47" si="16">$U45*Q$48/$U$48</f>
        <v>2.0588235294117645</v>
      </c>
      <c r="AA45">
        <f t="shared" si="16"/>
        <v>4.0441176470588234</v>
      </c>
      <c r="AB45">
        <f t="shared" si="16"/>
        <v>2.7205882352941178</v>
      </c>
      <c r="AC45">
        <f t="shared" si="16"/>
        <v>0.88235294117647056</v>
      </c>
      <c r="AD45" s="56">
        <f>SUM(Y45:AC45)</f>
        <v>10</v>
      </c>
      <c r="AE45" s="43"/>
      <c r="AG45" s="42">
        <v>1</v>
      </c>
      <c r="AH45">
        <f t="shared" ref="AH45:AL47" si="17">(P45-Y45)^2/Y45</f>
        <v>0.29411764705882354</v>
      </c>
      <c r="AI45">
        <f t="shared" si="17"/>
        <v>1.6806722689075512E-3</v>
      </c>
      <c r="AJ45">
        <f t="shared" si="17"/>
        <v>0.26957219251336895</v>
      </c>
      <c r="AK45">
        <f t="shared" si="17"/>
        <v>0.19085850556438796</v>
      </c>
      <c r="AL45">
        <f t="shared" si="17"/>
        <v>5.0823529411764712</v>
      </c>
      <c r="AM45" s="54">
        <f>SUM(AH45:AL45)</f>
        <v>5.8385819585819592</v>
      </c>
      <c r="AN45" s="44"/>
      <c r="AP45" s="2" t="s">
        <v>202</v>
      </c>
      <c r="AQ45" s="10">
        <f>SUM(AH45:AL47)</f>
        <v>8.1003030001841907</v>
      </c>
    </row>
    <row r="46" spans="1:44" ht="15.6" x14ac:dyDescent="0.3">
      <c r="A46">
        <v>3</v>
      </c>
      <c r="B46">
        <v>2</v>
      </c>
      <c r="C46">
        <v>2</v>
      </c>
      <c r="D46">
        <v>3</v>
      </c>
      <c r="E46">
        <v>2</v>
      </c>
      <c r="F46">
        <v>2</v>
      </c>
      <c r="G46">
        <v>5</v>
      </c>
      <c r="H46">
        <v>5</v>
      </c>
      <c r="I46">
        <v>5</v>
      </c>
      <c r="J46">
        <v>5</v>
      </c>
      <c r="K46">
        <v>4</v>
      </c>
      <c r="L46">
        <v>5</v>
      </c>
      <c r="O46" s="42">
        <v>2</v>
      </c>
      <c r="P46">
        <f>COUNTIFS($F$2:$F$137,"2",$J$2:$J$137,"1")</f>
        <v>3</v>
      </c>
      <c r="Q46">
        <f>COUNTIFS($F$2:$F$137,"2",$J$2:$J$137,"2")</f>
        <v>22</v>
      </c>
      <c r="R46">
        <f>COUNTIFS($F$2:$F$137,"2",$J$2:$J$137,"3")</f>
        <v>39</v>
      </c>
      <c r="S46">
        <f>COUNTIFS($F$2:$F$137,"2",$J$2:$J$137,"4")</f>
        <v>29</v>
      </c>
      <c r="T46">
        <f>COUNTIFS($F$2:$F$137,"2",$J$2:$J$137,"5")</f>
        <v>8</v>
      </c>
      <c r="U46" s="51">
        <f>SUM(P46:T46)</f>
        <v>101</v>
      </c>
      <c r="V46" s="43"/>
      <c r="X46" s="42">
        <v>2</v>
      </c>
      <c r="Y46">
        <f t="shared" ref="Y46:Y47" si="18">$U46*P$48/$U$48</f>
        <v>2.9705882352941178</v>
      </c>
      <c r="Z46">
        <f t="shared" si="16"/>
        <v>20.794117647058822</v>
      </c>
      <c r="AA46">
        <f t="shared" si="16"/>
        <v>40.845588235294116</v>
      </c>
      <c r="AB46">
        <f t="shared" si="16"/>
        <v>27.477941176470587</v>
      </c>
      <c r="AC46">
        <f t="shared" si="16"/>
        <v>8.9117647058823533</v>
      </c>
      <c r="AD46" s="56">
        <f>SUM(Y46:AC46)</f>
        <v>101</v>
      </c>
      <c r="AE46" s="43"/>
      <c r="AG46" s="42">
        <v>2</v>
      </c>
      <c r="AH46">
        <f t="shared" si="17"/>
        <v>2.9120559114734792E-4</v>
      </c>
      <c r="AI46">
        <f t="shared" si="17"/>
        <v>6.9930942674099467E-2</v>
      </c>
      <c r="AJ46">
        <f t="shared" si="17"/>
        <v>8.3392015672155304E-2</v>
      </c>
      <c r="AK46">
        <f t="shared" si="17"/>
        <v>8.4309921453194756E-2</v>
      </c>
      <c r="AL46">
        <f t="shared" si="17"/>
        <v>9.3282857697534527E-2</v>
      </c>
      <c r="AM46" s="54">
        <f>SUM(AH46:AL46)</f>
        <v>0.33120694308813142</v>
      </c>
      <c r="AN46" s="43"/>
      <c r="AP46" s="2" t="s">
        <v>203</v>
      </c>
      <c r="AQ46" s="50">
        <v>15.51</v>
      </c>
    </row>
    <row r="47" spans="1:44" ht="15.6" x14ac:dyDescent="0.3">
      <c r="A47">
        <v>5</v>
      </c>
      <c r="B47">
        <v>2</v>
      </c>
      <c r="C47">
        <v>3</v>
      </c>
      <c r="D47">
        <v>5</v>
      </c>
      <c r="E47">
        <v>3</v>
      </c>
      <c r="F47">
        <v>2</v>
      </c>
      <c r="G47">
        <v>4</v>
      </c>
      <c r="H47">
        <v>5</v>
      </c>
      <c r="I47">
        <v>5</v>
      </c>
      <c r="J47">
        <v>4</v>
      </c>
      <c r="K47">
        <v>4</v>
      </c>
      <c r="L47">
        <v>3</v>
      </c>
      <c r="O47" s="42">
        <v>3</v>
      </c>
      <c r="P47">
        <f>COUNTIFS($F$2:$F$137,"3",$J$2:$J$137,"1")</f>
        <v>1</v>
      </c>
      <c r="Q47">
        <f>COUNTIFS($F$2:$F$137,"3",$J$2:$J$137,"2")</f>
        <v>4</v>
      </c>
      <c r="R47">
        <f>COUNTIFS($F$2:$F$137,"3",$J$2:$J$137,"3")</f>
        <v>13</v>
      </c>
      <c r="S47">
        <f>COUNTIFS($F$2:$F$137,"3",$J$2:$J$137,"4")</f>
        <v>6</v>
      </c>
      <c r="T47">
        <f>COUNTIFS($F$2:$F$137,"3",$J$2:$J$137,"5")</f>
        <v>1</v>
      </c>
      <c r="U47" s="51">
        <f>SUM(P47:T47)</f>
        <v>25</v>
      </c>
      <c r="V47" s="43"/>
      <c r="X47" s="42">
        <v>3</v>
      </c>
      <c r="Y47">
        <f t="shared" si="18"/>
        <v>0.73529411764705888</v>
      </c>
      <c r="Z47">
        <f t="shared" si="16"/>
        <v>5.1470588235294121</v>
      </c>
      <c r="AA47">
        <f t="shared" si="16"/>
        <v>10.110294117647058</v>
      </c>
      <c r="AB47">
        <f t="shared" si="16"/>
        <v>6.8014705882352944</v>
      </c>
      <c r="AC47">
        <f t="shared" si="16"/>
        <v>2.2058823529411766</v>
      </c>
      <c r="AD47" s="56">
        <f>SUM(Y47:AC47)</f>
        <v>25</v>
      </c>
      <c r="AE47" s="43"/>
      <c r="AG47" s="42">
        <v>3</v>
      </c>
      <c r="AH47">
        <f t="shared" si="17"/>
        <v>9.5294117647058779E-2</v>
      </c>
      <c r="AI47">
        <f t="shared" si="17"/>
        <v>0.25563025210084045</v>
      </c>
      <c r="AJ47">
        <f t="shared" si="17"/>
        <v>0.82593048128342295</v>
      </c>
      <c r="AK47">
        <f t="shared" si="17"/>
        <v>9.4443561208267163E-2</v>
      </c>
      <c r="AL47">
        <f t="shared" si="17"/>
        <v>0.65921568627450999</v>
      </c>
      <c r="AM47" s="54">
        <f>SUM(AH47:AL47)</f>
        <v>1.9305140985140994</v>
      </c>
      <c r="AN47" s="43"/>
      <c r="AP47" s="2" t="s">
        <v>206</v>
      </c>
      <c r="AQ47">
        <f>_xlfn.CHISQ.DIST.RT(AQ45,AQ44)</f>
        <v>0.42373410640839498</v>
      </c>
      <c r="AR47" t="s">
        <v>220</v>
      </c>
    </row>
    <row r="48" spans="1:44" ht="18" x14ac:dyDescent="0.35">
      <c r="A48">
        <v>3</v>
      </c>
      <c r="B48">
        <v>2</v>
      </c>
      <c r="C48">
        <v>2</v>
      </c>
      <c r="D48">
        <v>2</v>
      </c>
      <c r="E48">
        <v>2</v>
      </c>
      <c r="F48">
        <v>2</v>
      </c>
      <c r="G48">
        <v>3</v>
      </c>
      <c r="H48">
        <v>5</v>
      </c>
      <c r="I48">
        <v>5</v>
      </c>
      <c r="J48">
        <v>3</v>
      </c>
      <c r="K48">
        <v>2</v>
      </c>
      <c r="L48">
        <v>2</v>
      </c>
      <c r="O48" s="42"/>
      <c r="P48" s="51">
        <f>SUM(P45:P47)</f>
        <v>4</v>
      </c>
      <c r="Q48" s="51">
        <f t="shared" ref="Q48:U48" si="19">SUM(Q45:Q47)</f>
        <v>28</v>
      </c>
      <c r="R48" s="51">
        <f t="shared" si="19"/>
        <v>55</v>
      </c>
      <c r="S48" s="51">
        <f t="shared" si="19"/>
        <v>37</v>
      </c>
      <c r="T48" s="51">
        <f t="shared" si="19"/>
        <v>12</v>
      </c>
      <c r="U48" s="45">
        <f t="shared" si="19"/>
        <v>136</v>
      </c>
      <c r="V48" s="43"/>
      <c r="X48" s="61"/>
      <c r="Y48" s="84">
        <f>SUM(Y45:Y47)</f>
        <v>4</v>
      </c>
      <c r="Z48" s="84">
        <f t="shared" ref="Z48:AD48" si="20">SUM(Z45:Z47)</f>
        <v>28</v>
      </c>
      <c r="AA48" s="84">
        <f t="shared" si="20"/>
        <v>55</v>
      </c>
      <c r="AB48" s="84">
        <f t="shared" si="20"/>
        <v>37</v>
      </c>
      <c r="AC48" s="84">
        <f t="shared" si="20"/>
        <v>12</v>
      </c>
      <c r="AD48" s="59">
        <f t="shared" si="20"/>
        <v>136</v>
      </c>
      <c r="AE48" s="43"/>
      <c r="AG48" s="61"/>
      <c r="AH48" s="51">
        <f>SUM(AH45:AH47)</f>
        <v>0.38970297029702972</v>
      </c>
      <c r="AI48" s="51">
        <f t="shared" ref="AI48:AM48" si="21">SUM(AI45:AI47)</f>
        <v>0.3272418670438475</v>
      </c>
      <c r="AJ48" s="51">
        <f t="shared" si="21"/>
        <v>1.1788946894689472</v>
      </c>
      <c r="AK48" s="51">
        <f t="shared" si="21"/>
        <v>0.36961198822584984</v>
      </c>
      <c r="AL48" s="51">
        <f t="shared" si="21"/>
        <v>5.8348514851485156</v>
      </c>
      <c r="AM48" s="59">
        <f t="shared" si="21"/>
        <v>8.1003030001841889</v>
      </c>
      <c r="AN48" s="43"/>
      <c r="AP48" t="s">
        <v>210</v>
      </c>
    </row>
    <row r="49" spans="1:44" ht="15.6" x14ac:dyDescent="0.3">
      <c r="A49">
        <v>2</v>
      </c>
      <c r="B49">
        <v>2</v>
      </c>
      <c r="C49">
        <v>1</v>
      </c>
      <c r="D49">
        <v>2</v>
      </c>
      <c r="E49">
        <v>1</v>
      </c>
      <c r="F49">
        <v>2</v>
      </c>
      <c r="G49">
        <v>3</v>
      </c>
      <c r="H49">
        <v>5</v>
      </c>
      <c r="I49">
        <v>4</v>
      </c>
      <c r="J49">
        <v>4</v>
      </c>
      <c r="K49">
        <v>3</v>
      </c>
      <c r="L49">
        <v>4</v>
      </c>
      <c r="O49" s="42"/>
      <c r="P49" s="54"/>
      <c r="Q49" s="54"/>
      <c r="R49" s="54"/>
      <c r="S49" s="54"/>
      <c r="T49" s="54"/>
      <c r="U49" s="45"/>
      <c r="V49" s="43"/>
      <c r="X49" s="61"/>
      <c r="AE49" s="43"/>
      <c r="AG49" s="61"/>
      <c r="AH49" s="84"/>
      <c r="AI49" s="84"/>
      <c r="AJ49" s="84"/>
      <c r="AK49" s="84"/>
      <c r="AL49" s="84"/>
      <c r="AM49" s="45"/>
      <c r="AN49" s="43"/>
      <c r="AP49" s="2" t="s">
        <v>299</v>
      </c>
      <c r="AQ49" s="50">
        <f>SQRT(AQ45/($AQ$9*$AQ$10))</f>
        <v>0.17257035010676455</v>
      </c>
      <c r="AR49" t="s">
        <v>337</v>
      </c>
    </row>
    <row r="50" spans="1:44" ht="15.6" x14ac:dyDescent="0.3">
      <c r="A50">
        <v>5</v>
      </c>
      <c r="B50">
        <v>2</v>
      </c>
      <c r="C50">
        <v>2</v>
      </c>
      <c r="D50">
        <v>5</v>
      </c>
      <c r="E50">
        <v>2</v>
      </c>
      <c r="F50">
        <v>3</v>
      </c>
      <c r="G50">
        <v>3</v>
      </c>
      <c r="H50">
        <v>3</v>
      </c>
      <c r="I50">
        <v>3</v>
      </c>
      <c r="J50">
        <v>2</v>
      </c>
      <c r="K50">
        <v>3</v>
      </c>
      <c r="L50">
        <v>3</v>
      </c>
      <c r="O50" s="42"/>
      <c r="U50" s="51"/>
      <c r="V50" s="43"/>
      <c r="X50" s="61"/>
      <c r="AD50" s="43"/>
      <c r="AE50" s="43"/>
      <c r="AG50" s="61"/>
      <c r="AM50" s="45"/>
      <c r="AN50" s="43"/>
    </row>
    <row r="51" spans="1:44" ht="18" x14ac:dyDescent="0.35">
      <c r="A51">
        <v>5</v>
      </c>
      <c r="B51">
        <v>2</v>
      </c>
      <c r="C51">
        <v>1</v>
      </c>
      <c r="D51">
        <v>4</v>
      </c>
      <c r="E51">
        <v>1</v>
      </c>
      <c r="F51">
        <v>2</v>
      </c>
      <c r="G51">
        <v>4</v>
      </c>
      <c r="H51">
        <v>3</v>
      </c>
      <c r="I51">
        <v>3</v>
      </c>
      <c r="J51">
        <v>3</v>
      </c>
      <c r="K51">
        <v>3</v>
      </c>
      <c r="L51">
        <v>2</v>
      </c>
      <c r="P51" s="43"/>
      <c r="Q51" s="43"/>
      <c r="R51" s="43"/>
      <c r="S51" s="43"/>
      <c r="T51" s="43"/>
      <c r="U51" s="45"/>
      <c r="V51" s="46"/>
      <c r="Y51" s="43"/>
      <c r="Z51" s="43"/>
      <c r="AA51" s="43"/>
      <c r="AB51" s="43"/>
      <c r="AC51" s="43"/>
      <c r="AD51" s="48"/>
      <c r="AE51" s="43"/>
      <c r="AH51" s="48"/>
      <c r="AI51" s="48"/>
      <c r="AJ51" s="48"/>
      <c r="AK51" s="48"/>
      <c r="AL51" s="48"/>
      <c r="AM51" s="46"/>
      <c r="AN51" s="43"/>
    </row>
    <row r="52" spans="1:44" x14ac:dyDescent="0.3">
      <c r="A52">
        <v>3</v>
      </c>
      <c r="B52">
        <v>2</v>
      </c>
      <c r="C52">
        <v>1</v>
      </c>
      <c r="D52">
        <v>2</v>
      </c>
      <c r="E52">
        <v>2</v>
      </c>
      <c r="F52">
        <v>2</v>
      </c>
      <c r="G52">
        <v>3</v>
      </c>
      <c r="H52">
        <v>4</v>
      </c>
      <c r="I52">
        <v>5</v>
      </c>
      <c r="J52">
        <v>2</v>
      </c>
      <c r="K52">
        <v>5</v>
      </c>
      <c r="L52">
        <v>4</v>
      </c>
    </row>
    <row r="53" spans="1:44" x14ac:dyDescent="0.3">
      <c r="A53">
        <v>3</v>
      </c>
      <c r="B53">
        <v>2</v>
      </c>
      <c r="C53">
        <v>2</v>
      </c>
      <c r="D53">
        <v>2</v>
      </c>
      <c r="E53">
        <v>2</v>
      </c>
      <c r="F53">
        <v>2</v>
      </c>
      <c r="G53">
        <v>3</v>
      </c>
      <c r="H53">
        <v>3</v>
      </c>
      <c r="I53">
        <v>5</v>
      </c>
      <c r="J53">
        <v>3</v>
      </c>
      <c r="K53">
        <v>3</v>
      </c>
      <c r="L53">
        <v>3</v>
      </c>
    </row>
    <row r="54" spans="1:44" x14ac:dyDescent="0.3">
      <c r="A54">
        <v>5</v>
      </c>
      <c r="B54">
        <v>2</v>
      </c>
      <c r="C54">
        <v>1</v>
      </c>
      <c r="D54">
        <v>4</v>
      </c>
      <c r="E54">
        <v>1</v>
      </c>
      <c r="F54">
        <v>2</v>
      </c>
      <c r="G54">
        <v>4</v>
      </c>
      <c r="H54">
        <v>5</v>
      </c>
      <c r="I54">
        <v>4</v>
      </c>
      <c r="J54">
        <v>4</v>
      </c>
      <c r="K54">
        <v>4</v>
      </c>
      <c r="L54">
        <v>4</v>
      </c>
    </row>
    <row r="55" spans="1:44" x14ac:dyDescent="0.3">
      <c r="A55">
        <v>3</v>
      </c>
      <c r="B55">
        <v>2</v>
      </c>
      <c r="C55">
        <v>1</v>
      </c>
      <c r="D55">
        <v>2</v>
      </c>
      <c r="E55">
        <v>1</v>
      </c>
      <c r="F55">
        <v>2</v>
      </c>
      <c r="G55">
        <v>3</v>
      </c>
      <c r="H55">
        <v>5</v>
      </c>
      <c r="I55">
        <v>4</v>
      </c>
      <c r="J55">
        <v>3</v>
      </c>
      <c r="K55">
        <v>3</v>
      </c>
      <c r="L55">
        <v>4</v>
      </c>
    </row>
    <row r="56" spans="1:44" x14ac:dyDescent="0.3">
      <c r="A56">
        <v>5</v>
      </c>
      <c r="B56">
        <v>2</v>
      </c>
      <c r="C56">
        <v>2</v>
      </c>
      <c r="D56">
        <v>5</v>
      </c>
      <c r="E56">
        <v>4</v>
      </c>
      <c r="F56">
        <v>2</v>
      </c>
      <c r="G56">
        <v>3</v>
      </c>
      <c r="H56">
        <v>4</v>
      </c>
      <c r="I56">
        <v>4</v>
      </c>
      <c r="J56">
        <v>2</v>
      </c>
      <c r="K56">
        <v>3</v>
      </c>
      <c r="L56">
        <v>3</v>
      </c>
    </row>
    <row r="57" spans="1:44" x14ac:dyDescent="0.3">
      <c r="A57">
        <v>3</v>
      </c>
      <c r="B57">
        <v>2</v>
      </c>
      <c r="C57">
        <v>2</v>
      </c>
      <c r="D57">
        <v>1</v>
      </c>
      <c r="E57">
        <v>2</v>
      </c>
      <c r="F57">
        <v>3</v>
      </c>
      <c r="G57">
        <v>2</v>
      </c>
      <c r="H57">
        <v>3</v>
      </c>
      <c r="I57">
        <v>4</v>
      </c>
      <c r="J57">
        <v>2</v>
      </c>
      <c r="K57">
        <v>3</v>
      </c>
      <c r="L57">
        <v>3</v>
      </c>
      <c r="P57" s="106" t="s">
        <v>346</v>
      </c>
      <c r="Q57" s="106"/>
      <c r="R57" s="106"/>
      <c r="S57" s="106"/>
      <c r="T57" s="106"/>
      <c r="U57" s="106"/>
      <c r="Y57" s="106" t="s">
        <v>364</v>
      </c>
      <c r="Z57" s="106"/>
      <c r="AA57" s="106"/>
      <c r="AB57" s="106"/>
      <c r="AC57" s="106"/>
      <c r="AD57" s="106"/>
      <c r="AG57" s="63"/>
      <c r="AH57" s="106" t="s">
        <v>356</v>
      </c>
      <c r="AI57" s="106"/>
      <c r="AJ57" s="106"/>
      <c r="AK57" s="106"/>
      <c r="AL57" s="106"/>
      <c r="AM57" s="106"/>
      <c r="AP57" s="2" t="s">
        <v>204</v>
      </c>
      <c r="AQ57">
        <v>0.05</v>
      </c>
    </row>
    <row r="58" spans="1:44" ht="15.6" x14ac:dyDescent="0.3">
      <c r="A58">
        <v>2</v>
      </c>
      <c r="B58">
        <v>2</v>
      </c>
      <c r="C58">
        <v>2</v>
      </c>
      <c r="D58">
        <v>1</v>
      </c>
      <c r="E58">
        <v>2</v>
      </c>
      <c r="F58">
        <v>2</v>
      </c>
      <c r="G58">
        <v>4</v>
      </c>
      <c r="H58">
        <v>4</v>
      </c>
      <c r="I58">
        <v>5</v>
      </c>
      <c r="J58">
        <v>3</v>
      </c>
      <c r="K58">
        <v>5</v>
      </c>
      <c r="L58">
        <v>4</v>
      </c>
      <c r="O58" s="11" t="s">
        <v>339</v>
      </c>
      <c r="P58" s="10">
        <v>1</v>
      </c>
      <c r="Q58" s="10">
        <v>2</v>
      </c>
      <c r="R58" s="10">
        <v>3</v>
      </c>
      <c r="S58" s="10">
        <v>4</v>
      </c>
      <c r="T58" s="10">
        <v>5</v>
      </c>
      <c r="U58" s="10"/>
      <c r="V58" s="44"/>
      <c r="X58" s="11" t="s">
        <v>339</v>
      </c>
      <c r="Y58" s="10">
        <v>1</v>
      </c>
      <c r="Z58" s="10">
        <v>2</v>
      </c>
      <c r="AA58" s="10">
        <v>3</v>
      </c>
      <c r="AB58" s="10">
        <v>4</v>
      </c>
      <c r="AC58" s="10">
        <v>5</v>
      </c>
      <c r="AD58" s="10"/>
      <c r="AG58" s="11" t="s">
        <v>339</v>
      </c>
      <c r="AH58" s="10">
        <v>1</v>
      </c>
      <c r="AI58" s="10">
        <v>2</v>
      </c>
      <c r="AJ58" s="10">
        <v>3</v>
      </c>
      <c r="AK58" s="10">
        <v>4</v>
      </c>
      <c r="AL58" s="10">
        <v>5</v>
      </c>
      <c r="AM58" s="10"/>
      <c r="AP58" s="2" t="s">
        <v>205</v>
      </c>
      <c r="AQ58">
        <f>2*4</f>
        <v>8</v>
      </c>
    </row>
    <row r="59" spans="1:44" ht="15.6" x14ac:dyDescent="0.3">
      <c r="A59">
        <v>2</v>
      </c>
      <c r="B59">
        <v>2</v>
      </c>
      <c r="C59">
        <v>1</v>
      </c>
      <c r="D59">
        <v>2</v>
      </c>
      <c r="E59">
        <v>1</v>
      </c>
      <c r="F59">
        <v>2</v>
      </c>
      <c r="G59">
        <v>3</v>
      </c>
      <c r="H59">
        <v>4</v>
      </c>
      <c r="I59">
        <v>5</v>
      </c>
      <c r="J59">
        <v>3</v>
      </c>
      <c r="K59">
        <v>5</v>
      </c>
      <c r="L59">
        <v>2</v>
      </c>
      <c r="O59" s="42">
        <v>1</v>
      </c>
      <c r="P59">
        <f>COUNTIFS($F$2:$F$137,"1",$K$2:$K$137,"1")</f>
        <v>0</v>
      </c>
      <c r="Q59">
        <f>COUNTIFS($F$2:$F$137,"1",$K$2:$K$137,"2")</f>
        <v>3</v>
      </c>
      <c r="R59">
        <f>COUNTIFS($F$2:$F$137,"1",$K$2:$K$137,"3")</f>
        <v>2</v>
      </c>
      <c r="S59">
        <f>COUNTIFS($F$2:$F$137,"1",$K$2:$K$137,"4")</f>
        <v>3</v>
      </c>
      <c r="T59">
        <f>COUNTIFS($F$2:$F$137,"1",$K$2:$K$137,"5")</f>
        <v>2</v>
      </c>
      <c r="U59" s="51">
        <f>SUM(P59:T59)</f>
        <v>10</v>
      </c>
      <c r="V59" s="43"/>
      <c r="X59" s="42">
        <v>1</v>
      </c>
      <c r="Y59">
        <f>$U59*P$62/$U$62</f>
        <v>0</v>
      </c>
      <c r="Z59">
        <f t="shared" ref="Z59:AC61" si="22">$U59*Q$62/$U$62</f>
        <v>1.25</v>
      </c>
      <c r="AA59">
        <f t="shared" si="22"/>
        <v>2.0588235294117645</v>
      </c>
      <c r="AB59">
        <f t="shared" si="22"/>
        <v>4.632352941176471</v>
      </c>
      <c r="AC59">
        <f t="shared" si="22"/>
        <v>2.0588235294117645</v>
      </c>
      <c r="AD59" s="56">
        <f>SUM(Y59:AC59)</f>
        <v>10</v>
      </c>
      <c r="AE59" s="52"/>
      <c r="AG59" s="42">
        <v>1</v>
      </c>
      <c r="AH59">
        <v>0</v>
      </c>
      <c r="AI59">
        <f>((Q59-Z59)^2)/Z59</f>
        <v>2.4500000000000002</v>
      </c>
      <c r="AJ59">
        <f t="shared" ref="AJ59:AL59" si="23">((R59-AA59)^2)/AA59</f>
        <v>1.6806722689075512E-3</v>
      </c>
      <c r="AK59">
        <f t="shared" si="23"/>
        <v>0.57521008403361362</v>
      </c>
      <c r="AL59">
        <f t="shared" si="23"/>
        <v>1.6806722689075512E-3</v>
      </c>
      <c r="AM59" s="54">
        <f>SUM(AH59:AL59)</f>
        <v>3.0285714285714289</v>
      </c>
      <c r="AP59" s="2" t="s">
        <v>202</v>
      </c>
      <c r="AQ59" s="10">
        <f>SUM(AH59:AL61)</f>
        <v>7.3062894860914671</v>
      </c>
    </row>
    <row r="60" spans="1:44" ht="15.6" x14ac:dyDescent="0.3">
      <c r="A60">
        <v>3</v>
      </c>
      <c r="B60">
        <v>2</v>
      </c>
      <c r="C60">
        <v>2</v>
      </c>
      <c r="D60">
        <v>2</v>
      </c>
      <c r="E60">
        <v>2</v>
      </c>
      <c r="F60">
        <v>2</v>
      </c>
      <c r="G60">
        <v>3</v>
      </c>
      <c r="H60">
        <v>4</v>
      </c>
      <c r="I60">
        <v>4</v>
      </c>
      <c r="J60">
        <v>3</v>
      </c>
      <c r="K60">
        <v>3</v>
      </c>
      <c r="L60">
        <v>3</v>
      </c>
      <c r="O60" s="42">
        <v>2</v>
      </c>
      <c r="P60">
        <f>COUNTIFS($F$2:$F$137,"2",$K$2:$K$137,"1")</f>
        <v>0</v>
      </c>
      <c r="Q60">
        <f>COUNTIFS($F$2:$F$137,"2",$K$2:$K$137,"2")</f>
        <v>14</v>
      </c>
      <c r="R60">
        <f>COUNTIFS($F$2:$F$137,"2",$K$2:$K$137,"3")</f>
        <v>19</v>
      </c>
      <c r="S60">
        <f>COUNTIFS($F$2:$F$137,"2",$K$2:$K$137,"4")</f>
        <v>47</v>
      </c>
      <c r="T60">
        <f>COUNTIFS($F$2:$F$137,"2",$K$2:$K$137,"5")</f>
        <v>21</v>
      </c>
      <c r="U60" s="51">
        <f>SUM(P60:T60)</f>
        <v>101</v>
      </c>
      <c r="V60" s="43"/>
      <c r="X60" s="42">
        <v>2</v>
      </c>
      <c r="Y60">
        <f t="shared" ref="Y60:Y61" si="24">$U60*P$62/$U$62</f>
        <v>0</v>
      </c>
      <c r="Z60">
        <f t="shared" si="22"/>
        <v>12.625</v>
      </c>
      <c r="AA60">
        <f t="shared" si="22"/>
        <v>20.794117647058822</v>
      </c>
      <c r="AB60">
        <f t="shared" si="22"/>
        <v>46.786764705882355</v>
      </c>
      <c r="AC60">
        <f t="shared" si="22"/>
        <v>20.794117647058822</v>
      </c>
      <c r="AD60" s="56">
        <f>SUM(Y60:AC60)</f>
        <v>101.00000000000001</v>
      </c>
      <c r="AE60" s="43"/>
      <c r="AG60" s="42">
        <v>2</v>
      </c>
      <c r="AH60" s="49">
        <v>0</v>
      </c>
      <c r="AI60">
        <f t="shared" ref="AI60:AI61" si="25">((Q60-Z60)^2)/Z60</f>
        <v>0.14975247524752475</v>
      </c>
      <c r="AJ60">
        <f t="shared" ref="AJ60:AL61" si="26">(R60-AA60)^2/AA60</f>
        <v>0.15479657209418404</v>
      </c>
      <c r="AK60">
        <f t="shared" si="26"/>
        <v>9.7184088156712927E-4</v>
      </c>
      <c r="AL60">
        <f t="shared" si="26"/>
        <v>2.0384391380314708E-3</v>
      </c>
      <c r="AM60" s="54">
        <f>SUM(AH60:AL60)</f>
        <v>0.30755932736130742</v>
      </c>
      <c r="AN60" s="44"/>
      <c r="AP60" s="2" t="s">
        <v>203</v>
      </c>
      <c r="AQ60" s="50">
        <v>15.51</v>
      </c>
    </row>
    <row r="61" spans="1:44" ht="15.6" x14ac:dyDescent="0.3">
      <c r="A61">
        <v>4</v>
      </c>
      <c r="B61">
        <v>2</v>
      </c>
      <c r="C61">
        <v>1</v>
      </c>
      <c r="D61">
        <v>4</v>
      </c>
      <c r="E61">
        <v>1</v>
      </c>
      <c r="F61">
        <v>2</v>
      </c>
      <c r="G61">
        <v>4</v>
      </c>
      <c r="H61">
        <v>4</v>
      </c>
      <c r="I61">
        <v>5</v>
      </c>
      <c r="J61">
        <v>2</v>
      </c>
      <c r="K61">
        <v>4</v>
      </c>
      <c r="L61">
        <v>4</v>
      </c>
      <c r="O61" s="42">
        <v>3</v>
      </c>
      <c r="P61">
        <f>COUNTIFS($F$2:$F$137,"3",$K$2:$K$137,"1")</f>
        <v>0</v>
      </c>
      <c r="Q61">
        <f>COUNTIFS($F$2:$F$137,"3",$K$2:$K$137,"2")</f>
        <v>0</v>
      </c>
      <c r="R61">
        <f>COUNTIFS($F$2:$F$137,"3",$K$2:$K$137,"3")</f>
        <v>7</v>
      </c>
      <c r="S61">
        <f>COUNTIFS($F$2:$F$137,"3",$K$2:$K$137,"4")</f>
        <v>13</v>
      </c>
      <c r="T61">
        <f>COUNTIFS($F$2:$F$137,"3",$K$2:$K$137,"5")</f>
        <v>5</v>
      </c>
      <c r="U61" s="51">
        <f>SUM(P61:T61)</f>
        <v>25</v>
      </c>
      <c r="V61" s="43"/>
      <c r="X61">
        <v>3</v>
      </c>
      <c r="Y61">
        <f t="shared" si="24"/>
        <v>0</v>
      </c>
      <c r="Z61">
        <f t="shared" si="22"/>
        <v>3.125</v>
      </c>
      <c r="AA61">
        <f t="shared" si="22"/>
        <v>5.1470588235294121</v>
      </c>
      <c r="AB61">
        <f t="shared" si="22"/>
        <v>11.580882352941176</v>
      </c>
      <c r="AC61">
        <f t="shared" si="22"/>
        <v>5.1470588235294121</v>
      </c>
      <c r="AD61" s="56">
        <f>SUM(Y61:AC61)</f>
        <v>25</v>
      </c>
      <c r="AE61" s="43"/>
      <c r="AG61" s="42">
        <v>3</v>
      </c>
      <c r="AH61" s="49">
        <v>0</v>
      </c>
      <c r="AI61">
        <f t="shared" si="25"/>
        <v>3.125</v>
      </c>
      <c r="AJ61">
        <f t="shared" si="26"/>
        <v>0.66705882352941148</v>
      </c>
      <c r="AK61">
        <f t="shared" si="26"/>
        <v>0.17389822595704965</v>
      </c>
      <c r="AL61">
        <f t="shared" si="26"/>
        <v>4.2016806722689282E-3</v>
      </c>
      <c r="AM61" s="54">
        <f>SUM(AH61:AL61)</f>
        <v>3.9701587301587304</v>
      </c>
      <c r="AN61" s="43"/>
      <c r="AP61" s="2" t="s">
        <v>206</v>
      </c>
      <c r="AQ61">
        <f>_xlfn.CHISQ.DIST.RT(AQ59,AQ58)</f>
        <v>0.50397555933974258</v>
      </c>
      <c r="AR61" t="s">
        <v>224</v>
      </c>
    </row>
    <row r="62" spans="1:44" ht="15.6" x14ac:dyDescent="0.3">
      <c r="A62">
        <v>5</v>
      </c>
      <c r="B62">
        <v>2</v>
      </c>
      <c r="C62">
        <v>1</v>
      </c>
      <c r="D62">
        <v>5</v>
      </c>
      <c r="E62">
        <v>1</v>
      </c>
      <c r="F62">
        <v>2</v>
      </c>
      <c r="G62">
        <v>5</v>
      </c>
      <c r="H62">
        <v>5</v>
      </c>
      <c r="I62">
        <v>4</v>
      </c>
      <c r="J62">
        <v>3</v>
      </c>
      <c r="K62">
        <v>4</v>
      </c>
      <c r="L62">
        <v>1</v>
      </c>
      <c r="O62" s="42"/>
      <c r="P62" s="51">
        <f>SUM(P59:P61)</f>
        <v>0</v>
      </c>
      <c r="Q62" s="51">
        <f t="shared" ref="Q62:U62" si="27">SUM(Q59:Q61)</f>
        <v>17</v>
      </c>
      <c r="R62" s="51">
        <f t="shared" si="27"/>
        <v>28</v>
      </c>
      <c r="S62" s="51">
        <f t="shared" si="27"/>
        <v>63</v>
      </c>
      <c r="T62" s="51">
        <f t="shared" si="27"/>
        <v>28</v>
      </c>
      <c r="U62" s="45">
        <f t="shared" si="27"/>
        <v>136</v>
      </c>
      <c r="V62" s="43"/>
      <c r="X62" s="42"/>
      <c r="Y62" s="51">
        <f>SUM(Y59:Y61)</f>
        <v>0</v>
      </c>
      <c r="Z62" s="51">
        <f t="shared" ref="Z62:AD62" si="28">SUM(Z59:Z61)</f>
        <v>17</v>
      </c>
      <c r="AA62" s="51">
        <f t="shared" si="28"/>
        <v>28</v>
      </c>
      <c r="AB62" s="51">
        <f t="shared" si="28"/>
        <v>63</v>
      </c>
      <c r="AC62" s="51">
        <f t="shared" si="28"/>
        <v>28</v>
      </c>
      <c r="AD62" s="45">
        <f t="shared" si="28"/>
        <v>136</v>
      </c>
      <c r="AE62" s="43"/>
      <c r="AG62" s="61"/>
      <c r="AH62" s="51">
        <f>SUM(AH59:AH61)</f>
        <v>0</v>
      </c>
      <c r="AI62" s="51">
        <f t="shared" ref="AI62:AM62" si="29">SUM(AI59:AI61)</f>
        <v>5.7247524752475254</v>
      </c>
      <c r="AJ62" s="51">
        <f t="shared" si="29"/>
        <v>0.82353606789250311</v>
      </c>
      <c r="AK62" s="51">
        <f t="shared" si="29"/>
        <v>0.75008015087223034</v>
      </c>
      <c r="AL62" s="51">
        <f t="shared" si="29"/>
        <v>7.9207920792079504E-3</v>
      </c>
      <c r="AM62" s="48">
        <f t="shared" si="29"/>
        <v>7.3062894860914671</v>
      </c>
      <c r="AN62" s="43"/>
      <c r="AP62" t="s">
        <v>338</v>
      </c>
    </row>
    <row r="63" spans="1:44" ht="15.6" x14ac:dyDescent="0.3">
      <c r="A63">
        <v>2</v>
      </c>
      <c r="B63">
        <v>2</v>
      </c>
      <c r="C63">
        <v>1</v>
      </c>
      <c r="D63">
        <v>2</v>
      </c>
      <c r="E63">
        <v>1</v>
      </c>
      <c r="F63">
        <v>3</v>
      </c>
      <c r="G63">
        <v>2</v>
      </c>
      <c r="H63">
        <v>5</v>
      </c>
      <c r="I63">
        <v>3</v>
      </c>
      <c r="J63">
        <v>3</v>
      </c>
      <c r="K63">
        <v>4</v>
      </c>
      <c r="L63">
        <v>2</v>
      </c>
      <c r="O63" s="42"/>
      <c r="P63" s="54"/>
      <c r="Q63" s="54"/>
      <c r="R63" s="54"/>
      <c r="S63" s="54"/>
      <c r="T63" s="54"/>
      <c r="U63" s="45"/>
      <c r="V63" s="43"/>
      <c r="X63" s="42"/>
      <c r="Y63" s="51"/>
      <c r="Z63" s="51"/>
      <c r="AA63" s="51"/>
      <c r="AB63" s="51"/>
      <c r="AC63" s="51"/>
      <c r="AD63" s="45"/>
      <c r="AE63" s="43"/>
      <c r="AG63" s="61"/>
      <c r="AH63" s="54"/>
      <c r="AI63" s="54"/>
      <c r="AJ63" s="54"/>
      <c r="AK63" s="54"/>
      <c r="AL63" s="54"/>
      <c r="AM63" s="45"/>
      <c r="AN63" s="43"/>
      <c r="AP63" s="2" t="s">
        <v>299</v>
      </c>
      <c r="AQ63" s="50">
        <f>SQRT(AQ59/($AQ$9*$AQ$10))</f>
        <v>0.16389435135094815</v>
      </c>
      <c r="AR63" t="s">
        <v>337</v>
      </c>
    </row>
    <row r="64" spans="1:44" ht="15.6" x14ac:dyDescent="0.3">
      <c r="A64">
        <v>5</v>
      </c>
      <c r="B64">
        <v>2</v>
      </c>
      <c r="C64">
        <v>3</v>
      </c>
      <c r="D64">
        <v>4</v>
      </c>
      <c r="E64">
        <v>3</v>
      </c>
      <c r="F64">
        <v>2</v>
      </c>
      <c r="G64">
        <v>4</v>
      </c>
      <c r="H64">
        <v>4</v>
      </c>
      <c r="I64">
        <v>5</v>
      </c>
      <c r="J64">
        <v>4</v>
      </c>
      <c r="K64">
        <v>4</v>
      </c>
      <c r="L64">
        <v>5</v>
      </c>
      <c r="O64" s="42"/>
      <c r="U64" s="53"/>
      <c r="V64" s="43"/>
      <c r="X64" s="42"/>
      <c r="AD64" s="43"/>
      <c r="AE64" s="43"/>
      <c r="AG64" s="61"/>
      <c r="AH64" s="49"/>
      <c r="AM64" s="45"/>
      <c r="AN64" s="43"/>
    </row>
    <row r="65" spans="1:44" ht="18" x14ac:dyDescent="0.35">
      <c r="A65">
        <v>2</v>
      </c>
      <c r="B65">
        <v>2</v>
      </c>
      <c r="C65">
        <v>2</v>
      </c>
      <c r="D65">
        <v>1</v>
      </c>
      <c r="E65">
        <v>2</v>
      </c>
      <c r="F65">
        <v>2</v>
      </c>
      <c r="G65">
        <v>4</v>
      </c>
      <c r="H65">
        <v>5</v>
      </c>
      <c r="I65">
        <v>5</v>
      </c>
      <c r="J65">
        <v>3</v>
      </c>
      <c r="K65">
        <v>5</v>
      </c>
      <c r="L65">
        <v>4</v>
      </c>
      <c r="P65" s="43"/>
      <c r="Q65" s="43"/>
      <c r="R65" s="43"/>
      <c r="S65" s="43"/>
      <c r="T65" s="43"/>
      <c r="U65" s="48"/>
      <c r="V65" s="46"/>
      <c r="X65" s="42"/>
      <c r="AD65" s="43"/>
      <c r="AE65" s="43"/>
      <c r="AG65" s="61"/>
      <c r="AH65" s="49"/>
      <c r="AM65" s="45"/>
      <c r="AN65" s="43"/>
      <c r="AP65" s="2"/>
      <c r="AQ65" s="50"/>
    </row>
    <row r="66" spans="1:44" ht="18" x14ac:dyDescent="0.35">
      <c r="A66">
        <v>2</v>
      </c>
      <c r="B66">
        <v>2</v>
      </c>
      <c r="C66">
        <v>2</v>
      </c>
      <c r="D66">
        <v>1</v>
      </c>
      <c r="E66">
        <v>2</v>
      </c>
      <c r="F66">
        <v>2</v>
      </c>
      <c r="G66">
        <v>4</v>
      </c>
      <c r="H66">
        <v>5</v>
      </c>
      <c r="I66">
        <v>5</v>
      </c>
      <c r="J66">
        <v>3</v>
      </c>
      <c r="K66">
        <v>5</v>
      </c>
      <c r="L66">
        <v>3</v>
      </c>
      <c r="Y66" s="43"/>
      <c r="Z66" s="43"/>
      <c r="AA66" s="43"/>
      <c r="AB66" s="43"/>
      <c r="AC66" s="43"/>
      <c r="AD66" s="48"/>
      <c r="AE66" s="43"/>
      <c r="AH66" s="48"/>
      <c r="AI66" s="48"/>
      <c r="AJ66" s="48"/>
      <c r="AK66" s="48"/>
      <c r="AL66" s="48"/>
      <c r="AM66" s="46"/>
      <c r="AN66" s="43"/>
    </row>
    <row r="67" spans="1:44" x14ac:dyDescent="0.3">
      <c r="A67">
        <v>3</v>
      </c>
      <c r="B67">
        <v>2</v>
      </c>
      <c r="C67">
        <v>2</v>
      </c>
      <c r="D67">
        <v>2</v>
      </c>
      <c r="E67">
        <v>2</v>
      </c>
      <c r="F67">
        <v>2</v>
      </c>
      <c r="G67">
        <v>4</v>
      </c>
      <c r="H67">
        <v>5</v>
      </c>
      <c r="I67">
        <v>3</v>
      </c>
      <c r="J67">
        <v>2</v>
      </c>
      <c r="K67">
        <v>4</v>
      </c>
      <c r="L67">
        <v>3</v>
      </c>
    </row>
    <row r="68" spans="1:44" x14ac:dyDescent="0.3">
      <c r="A68">
        <v>4</v>
      </c>
      <c r="B68">
        <v>2</v>
      </c>
      <c r="C68">
        <v>2</v>
      </c>
      <c r="D68">
        <v>4</v>
      </c>
      <c r="E68">
        <v>2</v>
      </c>
      <c r="F68">
        <v>2</v>
      </c>
      <c r="G68">
        <v>4</v>
      </c>
      <c r="H68">
        <v>5</v>
      </c>
      <c r="I68">
        <v>4</v>
      </c>
      <c r="J68">
        <v>3</v>
      </c>
      <c r="K68">
        <v>4</v>
      </c>
      <c r="L68">
        <v>5</v>
      </c>
    </row>
    <row r="69" spans="1:44" x14ac:dyDescent="0.3">
      <c r="A69">
        <v>4</v>
      </c>
      <c r="B69">
        <v>2</v>
      </c>
      <c r="C69">
        <v>2</v>
      </c>
      <c r="D69">
        <v>1</v>
      </c>
      <c r="E69">
        <v>3</v>
      </c>
      <c r="F69">
        <v>2</v>
      </c>
      <c r="G69">
        <v>4</v>
      </c>
      <c r="H69">
        <v>4</v>
      </c>
      <c r="I69">
        <v>3</v>
      </c>
      <c r="J69">
        <v>4</v>
      </c>
      <c r="K69">
        <v>3</v>
      </c>
      <c r="L69">
        <v>2</v>
      </c>
    </row>
    <row r="70" spans="1:44" x14ac:dyDescent="0.3">
      <c r="A70">
        <v>2</v>
      </c>
      <c r="B70">
        <v>2</v>
      </c>
      <c r="C70">
        <v>2</v>
      </c>
      <c r="D70">
        <v>1</v>
      </c>
      <c r="E70">
        <v>2</v>
      </c>
      <c r="F70">
        <v>3</v>
      </c>
      <c r="G70">
        <v>5</v>
      </c>
      <c r="H70">
        <v>5</v>
      </c>
      <c r="I70">
        <v>4</v>
      </c>
      <c r="J70">
        <v>3</v>
      </c>
      <c r="K70">
        <v>5</v>
      </c>
      <c r="L70">
        <v>4</v>
      </c>
    </row>
    <row r="71" spans="1:44" x14ac:dyDescent="0.3">
      <c r="A71">
        <v>5</v>
      </c>
      <c r="B71">
        <v>2</v>
      </c>
      <c r="C71">
        <v>1</v>
      </c>
      <c r="D71">
        <v>5</v>
      </c>
      <c r="E71">
        <v>1</v>
      </c>
      <c r="F71">
        <v>2</v>
      </c>
      <c r="G71">
        <v>4</v>
      </c>
      <c r="H71">
        <v>5</v>
      </c>
      <c r="I71">
        <v>5</v>
      </c>
      <c r="J71">
        <v>4</v>
      </c>
      <c r="K71">
        <v>4</v>
      </c>
      <c r="L71">
        <v>4</v>
      </c>
      <c r="P71" s="106" t="s">
        <v>347</v>
      </c>
      <c r="Q71" s="106"/>
      <c r="R71" s="106"/>
      <c r="S71" s="106"/>
      <c r="T71" s="106"/>
      <c r="U71" s="106"/>
      <c r="Y71" s="106" t="s">
        <v>365</v>
      </c>
      <c r="Z71" s="106"/>
      <c r="AA71" s="106"/>
      <c r="AB71" s="106"/>
      <c r="AC71" s="106"/>
      <c r="AD71" s="106"/>
      <c r="AG71" s="63"/>
      <c r="AH71" s="106" t="s">
        <v>357</v>
      </c>
      <c r="AI71" s="106"/>
      <c r="AJ71" s="106"/>
      <c r="AK71" s="106"/>
      <c r="AL71" s="106"/>
      <c r="AM71" s="106"/>
      <c r="AP71" s="2" t="s">
        <v>204</v>
      </c>
      <c r="AQ71">
        <v>0.05</v>
      </c>
    </row>
    <row r="72" spans="1:44" ht="15.6" x14ac:dyDescent="0.3">
      <c r="A72">
        <v>3</v>
      </c>
      <c r="B72">
        <v>2</v>
      </c>
      <c r="C72">
        <v>2</v>
      </c>
      <c r="D72">
        <v>2</v>
      </c>
      <c r="E72">
        <v>2</v>
      </c>
      <c r="F72">
        <v>2</v>
      </c>
      <c r="G72">
        <v>4</v>
      </c>
      <c r="H72">
        <v>4</v>
      </c>
      <c r="I72">
        <v>4</v>
      </c>
      <c r="J72">
        <v>3</v>
      </c>
      <c r="K72">
        <v>4</v>
      </c>
      <c r="L72">
        <v>3</v>
      </c>
      <c r="O72" s="11" t="s">
        <v>339</v>
      </c>
      <c r="P72" s="10">
        <v>1</v>
      </c>
      <c r="Q72" s="10">
        <v>2</v>
      </c>
      <c r="R72" s="10">
        <v>3</v>
      </c>
      <c r="S72" s="10">
        <v>4</v>
      </c>
      <c r="T72" s="10">
        <v>5</v>
      </c>
      <c r="U72" s="10"/>
      <c r="V72" s="44"/>
      <c r="X72" s="11" t="s">
        <v>339</v>
      </c>
      <c r="Y72" s="10">
        <v>1</v>
      </c>
      <c r="Z72" s="10">
        <v>2</v>
      </c>
      <c r="AA72" s="10">
        <v>3</v>
      </c>
      <c r="AB72" s="10">
        <v>4</v>
      </c>
      <c r="AC72" s="10">
        <v>5</v>
      </c>
      <c r="AD72" s="10"/>
      <c r="AG72" s="11" t="s">
        <v>339</v>
      </c>
      <c r="AH72" s="10">
        <v>1</v>
      </c>
      <c r="AI72" s="10">
        <v>2</v>
      </c>
      <c r="AJ72" s="10">
        <v>3</v>
      </c>
      <c r="AK72" s="10">
        <v>4</v>
      </c>
      <c r="AL72" s="10">
        <v>5</v>
      </c>
      <c r="AM72" s="10"/>
      <c r="AP72" s="2" t="s">
        <v>205</v>
      </c>
      <c r="AQ72">
        <f>2*4</f>
        <v>8</v>
      </c>
    </row>
    <row r="73" spans="1:44" ht="15.6" x14ac:dyDescent="0.3">
      <c r="A73">
        <v>5</v>
      </c>
      <c r="B73">
        <v>1</v>
      </c>
      <c r="C73">
        <v>2</v>
      </c>
      <c r="D73">
        <v>3</v>
      </c>
      <c r="E73">
        <v>2</v>
      </c>
      <c r="F73">
        <v>2</v>
      </c>
      <c r="G73">
        <v>4</v>
      </c>
      <c r="H73">
        <v>4</v>
      </c>
      <c r="I73">
        <v>4</v>
      </c>
      <c r="J73">
        <v>3</v>
      </c>
      <c r="K73">
        <v>2</v>
      </c>
      <c r="L73">
        <v>4</v>
      </c>
      <c r="O73" s="42">
        <v>1</v>
      </c>
      <c r="P73">
        <f>COUNTIFS($F$2:$F$137,"1",$L$2:$L$137,"1")</f>
        <v>2</v>
      </c>
      <c r="Q73">
        <f>COUNTIFS($F$2:$F$137,"1",$L$2:$L$137,"2")</f>
        <v>2</v>
      </c>
      <c r="R73">
        <f>COUNTIFS($F$2:$F$137,"1",$L$2:$L$137,"3")</f>
        <v>3</v>
      </c>
      <c r="S73">
        <f>COUNTIFS($F$2:$F$137,"1",$L$2:$L$137,"4")</f>
        <v>3</v>
      </c>
      <c r="T73">
        <f>COUNTIFS($F$2:$F$137,"1",$L$2:$L$137,"5")</f>
        <v>0</v>
      </c>
      <c r="U73" s="56">
        <f>SUM(P73:T73)</f>
        <v>10</v>
      </c>
      <c r="V73" s="43"/>
      <c r="X73" s="42">
        <v>1</v>
      </c>
      <c r="Y73">
        <f>$U73*P$76/$U$76</f>
        <v>0.36764705882352944</v>
      </c>
      <c r="Z73">
        <f t="shared" ref="Z73:AC75" si="30">$U73*Q$76/$U$76</f>
        <v>2.1323529411764706</v>
      </c>
      <c r="AA73">
        <f t="shared" si="30"/>
        <v>3.1617647058823528</v>
      </c>
      <c r="AB73">
        <f t="shared" si="30"/>
        <v>2.9411764705882355</v>
      </c>
      <c r="AC73">
        <f t="shared" si="30"/>
        <v>1.3970588235294117</v>
      </c>
      <c r="AD73" s="56">
        <f>SUM(Y73:AC73)</f>
        <v>10</v>
      </c>
      <c r="AE73" s="52"/>
      <c r="AG73" s="42">
        <v>1</v>
      </c>
      <c r="AH73" s="3">
        <f t="shared" ref="AH73:AL74" si="31">(P73-Y73)^2/Y73</f>
        <v>7.2476470588235289</v>
      </c>
      <c r="AI73" s="3">
        <f t="shared" si="31"/>
        <v>8.2150101419878278E-3</v>
      </c>
      <c r="AJ73" s="3">
        <f t="shared" si="31"/>
        <v>8.2763337893296714E-3</v>
      </c>
      <c r="AK73" s="3">
        <f t="shared" si="31"/>
        <v>1.1764705882352856E-3</v>
      </c>
      <c r="AL73" s="3">
        <f t="shared" si="31"/>
        <v>1.3970588235294117</v>
      </c>
      <c r="AM73" s="54">
        <f>SUM(AH73:AL73)</f>
        <v>8.6623736968724927</v>
      </c>
      <c r="AP73" s="2" t="s">
        <v>202</v>
      </c>
      <c r="AQ73" s="10">
        <f>SUM(AH73:AL75)</f>
        <v>10.653118572432097</v>
      </c>
    </row>
    <row r="74" spans="1:44" ht="15.6" x14ac:dyDescent="0.3">
      <c r="A74">
        <v>2</v>
      </c>
      <c r="B74">
        <v>2</v>
      </c>
      <c r="C74">
        <v>2</v>
      </c>
      <c r="D74">
        <v>1</v>
      </c>
      <c r="E74">
        <v>2</v>
      </c>
      <c r="F74">
        <v>2</v>
      </c>
      <c r="G74">
        <v>5</v>
      </c>
      <c r="H74">
        <v>5</v>
      </c>
      <c r="I74">
        <v>5</v>
      </c>
      <c r="J74">
        <v>5</v>
      </c>
      <c r="K74">
        <v>5</v>
      </c>
      <c r="L74">
        <v>5</v>
      </c>
      <c r="O74" s="42">
        <v>2</v>
      </c>
      <c r="P74">
        <f>COUNTIFS($F$2:$F$137,"2",$L$2:$L$137,"1")</f>
        <v>2</v>
      </c>
      <c r="Q74">
        <f>COUNTIFS($F$2:$F$137,"2",$L$2:$L$137,"2")</f>
        <v>21</v>
      </c>
      <c r="R74">
        <f>COUNTIFS($F$2:$F$137,"2",$L$2:$L$137,"3")</f>
        <v>33</v>
      </c>
      <c r="S74">
        <f>COUNTIFS($F$2:$F$137,"2",$L$2:$L$137,"4")</f>
        <v>31</v>
      </c>
      <c r="T74">
        <f>COUNTIFS($F$2:$F$137,"2",$L$2:$L$137,"5")</f>
        <v>14</v>
      </c>
      <c r="U74" s="56">
        <f>SUM(P74:T74)</f>
        <v>101</v>
      </c>
      <c r="V74" s="43"/>
      <c r="X74" s="42">
        <v>2</v>
      </c>
      <c r="Y74">
        <f t="shared" ref="Y74:Y75" si="32">$U74*P$76/$U$76</f>
        <v>3.7132352941176472</v>
      </c>
      <c r="Z74">
        <f t="shared" si="30"/>
        <v>21.536764705882351</v>
      </c>
      <c r="AA74">
        <f t="shared" si="30"/>
        <v>31.933823529411764</v>
      </c>
      <c r="AB74">
        <f t="shared" si="30"/>
        <v>29.705882352941178</v>
      </c>
      <c r="AC74">
        <f t="shared" si="30"/>
        <v>14.110294117647058</v>
      </c>
      <c r="AD74" s="56">
        <f>SUM(Y74:AC74)</f>
        <v>101</v>
      </c>
      <c r="AE74" s="43"/>
      <c r="AG74" s="42">
        <v>2</v>
      </c>
      <c r="AH74">
        <f t="shared" si="31"/>
        <v>0.79046301688992437</v>
      </c>
      <c r="AI74">
        <f t="shared" si="31"/>
        <v>1.3377884441588104E-2</v>
      </c>
      <c r="AJ74">
        <f t="shared" si="31"/>
        <v>3.5596497406238589E-2</v>
      </c>
      <c r="AK74">
        <f t="shared" si="31"/>
        <v>5.6377402446126872E-2</v>
      </c>
      <c r="AL74">
        <f t="shared" si="31"/>
        <v>8.6212181589674696E-4</v>
      </c>
      <c r="AM74" s="54">
        <f>SUM(AH74:AL74)</f>
        <v>0.89667692299977464</v>
      </c>
      <c r="AN74" s="44"/>
      <c r="AP74" s="2" t="s">
        <v>203</v>
      </c>
      <c r="AQ74" s="50">
        <v>15.51</v>
      </c>
    </row>
    <row r="75" spans="1:44" ht="15.6" x14ac:dyDescent="0.3">
      <c r="A75">
        <v>2</v>
      </c>
      <c r="B75">
        <v>2</v>
      </c>
      <c r="C75">
        <v>2</v>
      </c>
      <c r="D75">
        <v>1</v>
      </c>
      <c r="E75">
        <v>2</v>
      </c>
      <c r="F75">
        <v>2</v>
      </c>
      <c r="G75">
        <v>4</v>
      </c>
      <c r="H75">
        <v>4</v>
      </c>
      <c r="I75">
        <v>4</v>
      </c>
      <c r="J75">
        <v>3</v>
      </c>
      <c r="K75">
        <v>4</v>
      </c>
      <c r="L75">
        <v>2</v>
      </c>
      <c r="O75" s="42">
        <v>3</v>
      </c>
      <c r="P75">
        <f>COUNTIFS($F$2:$F$137,"3",$L$2:$L$137,"1")</f>
        <v>1</v>
      </c>
      <c r="Q75">
        <f>COUNTIFS($F$2:$F$137,"3",$L$2:$L$137,"2")</f>
        <v>6</v>
      </c>
      <c r="R75">
        <f>COUNTIFS($F$2:$F$137,"3",$L$2:$L$137,"3")</f>
        <v>7</v>
      </c>
      <c r="S75">
        <f>COUNTIFS($F$2:$F$137,"3",$L$2:$L$137,"4")</f>
        <v>6</v>
      </c>
      <c r="T75">
        <f>COUNTIFS($F$2:$F$137,"3",$L$2:$L$137,"5")</f>
        <v>5</v>
      </c>
      <c r="U75" s="56">
        <f>SUM(P75:T75)</f>
        <v>25</v>
      </c>
      <c r="V75" s="43"/>
      <c r="X75">
        <v>3</v>
      </c>
      <c r="Y75">
        <f t="shared" si="32"/>
        <v>0.91911764705882348</v>
      </c>
      <c r="Z75">
        <f t="shared" si="30"/>
        <v>5.3308823529411766</v>
      </c>
      <c r="AA75">
        <f t="shared" si="30"/>
        <v>7.9044117647058822</v>
      </c>
      <c r="AB75">
        <f t="shared" si="30"/>
        <v>7.3529411764705879</v>
      </c>
      <c r="AC75">
        <f t="shared" si="30"/>
        <v>3.4926470588235294</v>
      </c>
      <c r="AD75" s="56">
        <f>SUM(Y75:AC75)</f>
        <v>25</v>
      </c>
      <c r="AE75" s="43"/>
      <c r="AG75" s="42">
        <v>3</v>
      </c>
      <c r="AH75">
        <f>(P75-Y75)^2/Y75</f>
        <v>7.1176470588235376E-3</v>
      </c>
      <c r="AI75">
        <f>(Q75-Z75)^2/Z75</f>
        <v>8.3985801217038497E-2</v>
      </c>
      <c r="AJ75">
        <f>(R75-AA75)^2/AA75</f>
        <v>0.10348153214774279</v>
      </c>
      <c r="AK75">
        <f>(S75-AB75)^2/AB75</f>
        <v>0.24894117647058811</v>
      </c>
      <c r="AL75">
        <f>(T75-AC75)^2/AC75</f>
        <v>0.65054179566563464</v>
      </c>
      <c r="AM75" s="54">
        <f>SUM(AH75:AL75)</f>
        <v>1.0940679525598276</v>
      </c>
      <c r="AN75" s="43"/>
      <c r="AP75" s="2" t="s">
        <v>206</v>
      </c>
      <c r="AQ75">
        <f>_xlfn.CHISQ.DIST.RT(AQ73,AQ72)</f>
        <v>0.22213897496982929</v>
      </c>
      <c r="AR75" t="s">
        <v>220</v>
      </c>
    </row>
    <row r="76" spans="1:44" ht="15.6" x14ac:dyDescent="0.3">
      <c r="A76">
        <v>2</v>
      </c>
      <c r="B76">
        <v>2</v>
      </c>
      <c r="C76">
        <v>2</v>
      </c>
      <c r="D76">
        <v>1</v>
      </c>
      <c r="E76">
        <v>2</v>
      </c>
      <c r="F76">
        <v>2</v>
      </c>
      <c r="G76">
        <v>3</v>
      </c>
      <c r="H76">
        <v>5</v>
      </c>
      <c r="I76">
        <v>4</v>
      </c>
      <c r="J76">
        <v>4</v>
      </c>
      <c r="K76">
        <v>4</v>
      </c>
      <c r="L76">
        <v>3</v>
      </c>
      <c r="O76" s="42"/>
      <c r="P76" s="51">
        <f>SUM(P73:P75)</f>
        <v>5</v>
      </c>
      <c r="Q76" s="51">
        <f t="shared" ref="Q76:U76" si="33">SUM(Q73:Q75)</f>
        <v>29</v>
      </c>
      <c r="R76" s="51">
        <f t="shared" si="33"/>
        <v>43</v>
      </c>
      <c r="S76" s="51">
        <f t="shared" si="33"/>
        <v>40</v>
      </c>
      <c r="T76" s="51">
        <f t="shared" si="33"/>
        <v>19</v>
      </c>
      <c r="U76" s="48">
        <f t="shared" si="33"/>
        <v>136</v>
      </c>
      <c r="V76" s="43"/>
      <c r="X76" s="42"/>
      <c r="Y76" s="51">
        <f>SUM(Y73:Y75)</f>
        <v>5</v>
      </c>
      <c r="Z76" s="51">
        <f t="shared" ref="Z76:AD76" si="34">SUM(Z73:Z75)</f>
        <v>29</v>
      </c>
      <c r="AA76" s="51">
        <f t="shared" si="34"/>
        <v>43</v>
      </c>
      <c r="AB76" s="51">
        <f t="shared" si="34"/>
        <v>40</v>
      </c>
      <c r="AC76" s="51">
        <f t="shared" si="34"/>
        <v>19</v>
      </c>
      <c r="AD76" s="48">
        <f t="shared" si="34"/>
        <v>136</v>
      </c>
      <c r="AE76" s="43"/>
      <c r="AG76" s="23"/>
      <c r="AH76" s="51">
        <f>SUM(AH73:AH75)</f>
        <v>8.0452277227722764</v>
      </c>
      <c r="AI76" s="51">
        <f t="shared" ref="AI76:AM76" si="35">SUM(AI73:AI75)</f>
        <v>0.10557869580061444</v>
      </c>
      <c r="AJ76" s="51">
        <f t="shared" si="35"/>
        <v>0.14735436334331103</v>
      </c>
      <c r="AK76" s="51">
        <f t="shared" si="35"/>
        <v>0.30649504950495027</v>
      </c>
      <c r="AL76" s="51">
        <f t="shared" si="35"/>
        <v>2.0484627410109431</v>
      </c>
      <c r="AM76" s="45">
        <f t="shared" si="35"/>
        <v>10.653118572432094</v>
      </c>
      <c r="AN76" s="43"/>
      <c r="AP76" t="s">
        <v>222</v>
      </c>
    </row>
    <row r="77" spans="1:44" ht="15.6" x14ac:dyDescent="0.3">
      <c r="A77">
        <v>2</v>
      </c>
      <c r="B77">
        <v>2</v>
      </c>
      <c r="C77">
        <v>2</v>
      </c>
      <c r="D77">
        <v>1</v>
      </c>
      <c r="E77">
        <v>2</v>
      </c>
      <c r="F77">
        <v>2</v>
      </c>
      <c r="G77">
        <v>4</v>
      </c>
      <c r="H77">
        <v>4</v>
      </c>
      <c r="I77">
        <v>4</v>
      </c>
      <c r="J77">
        <v>4</v>
      </c>
      <c r="K77">
        <v>4</v>
      </c>
      <c r="L77">
        <v>3</v>
      </c>
      <c r="O77" s="42"/>
      <c r="P77" s="54"/>
      <c r="Q77" s="54"/>
      <c r="R77" s="54"/>
      <c r="S77" s="54"/>
      <c r="T77" s="54"/>
      <c r="U77" s="45"/>
      <c r="V77" s="43"/>
      <c r="X77" s="42"/>
      <c r="Y77" s="54"/>
      <c r="Z77" s="54"/>
      <c r="AA77" s="54"/>
      <c r="AB77" s="54"/>
      <c r="AC77" s="54"/>
      <c r="AD77" s="45"/>
      <c r="AE77" s="43"/>
      <c r="AG77" s="61"/>
      <c r="AH77" s="51"/>
      <c r="AI77" s="51"/>
      <c r="AJ77" s="51"/>
      <c r="AK77" s="51"/>
      <c r="AL77" s="51"/>
      <c r="AM77" s="45"/>
      <c r="AN77" s="43"/>
      <c r="AP77" s="2" t="s">
        <v>299</v>
      </c>
      <c r="AQ77" s="50">
        <f>SQRT(AQ73/($AQ$9*$AQ$10))</f>
        <v>0.1979037066467674</v>
      </c>
      <c r="AR77" t="s">
        <v>337</v>
      </c>
    </row>
    <row r="78" spans="1:44" ht="15.6" x14ac:dyDescent="0.3">
      <c r="A78">
        <v>2</v>
      </c>
      <c r="B78">
        <v>2</v>
      </c>
      <c r="C78">
        <v>2</v>
      </c>
      <c r="D78">
        <v>1</v>
      </c>
      <c r="E78">
        <v>2</v>
      </c>
      <c r="F78">
        <v>1</v>
      </c>
      <c r="G78">
        <v>5</v>
      </c>
      <c r="H78">
        <v>5</v>
      </c>
      <c r="I78">
        <v>4</v>
      </c>
      <c r="J78">
        <v>4</v>
      </c>
      <c r="K78">
        <v>4</v>
      </c>
      <c r="L78">
        <v>4</v>
      </c>
      <c r="O78" s="42"/>
      <c r="U78" s="43"/>
      <c r="V78" s="43"/>
      <c r="X78" s="42"/>
      <c r="AD78" s="43"/>
      <c r="AE78" s="43"/>
      <c r="AG78" s="61"/>
      <c r="AM78" s="45"/>
      <c r="AN78" s="43"/>
    </row>
    <row r="79" spans="1:44" ht="18" x14ac:dyDescent="0.35">
      <c r="A79">
        <v>2</v>
      </c>
      <c r="B79">
        <v>1</v>
      </c>
      <c r="C79">
        <v>2</v>
      </c>
      <c r="D79">
        <v>1</v>
      </c>
      <c r="E79">
        <v>2</v>
      </c>
      <c r="F79">
        <v>2</v>
      </c>
      <c r="G79">
        <v>3</v>
      </c>
      <c r="H79">
        <v>3</v>
      </c>
      <c r="I79">
        <v>3</v>
      </c>
      <c r="J79">
        <v>3</v>
      </c>
      <c r="K79">
        <v>3</v>
      </c>
      <c r="L79">
        <v>3</v>
      </c>
      <c r="P79" s="43"/>
      <c r="Q79" s="43"/>
      <c r="R79" s="43"/>
      <c r="S79" s="43"/>
      <c r="T79" s="43"/>
      <c r="U79" s="48"/>
      <c r="V79" s="46"/>
      <c r="X79" s="42"/>
      <c r="AD79" s="43"/>
      <c r="AE79" s="43"/>
      <c r="AG79" s="61"/>
      <c r="AM79" s="45"/>
      <c r="AN79" s="43"/>
    </row>
    <row r="80" spans="1:44" ht="18" x14ac:dyDescent="0.35">
      <c r="A80">
        <v>5</v>
      </c>
      <c r="B80">
        <v>2</v>
      </c>
      <c r="C80">
        <v>1</v>
      </c>
      <c r="D80">
        <v>4</v>
      </c>
      <c r="E80">
        <v>1</v>
      </c>
      <c r="F80">
        <v>2</v>
      </c>
      <c r="G80">
        <v>4</v>
      </c>
      <c r="H80">
        <v>5</v>
      </c>
      <c r="I80">
        <v>5</v>
      </c>
      <c r="J80">
        <v>5</v>
      </c>
      <c r="K80">
        <v>4</v>
      </c>
      <c r="L80">
        <v>5</v>
      </c>
      <c r="Y80" s="43"/>
      <c r="Z80" s="43"/>
      <c r="AA80" s="43"/>
      <c r="AB80" s="43"/>
      <c r="AC80" s="43"/>
      <c r="AD80" s="48"/>
      <c r="AE80" s="43"/>
      <c r="AH80" s="48"/>
      <c r="AI80" s="48"/>
      <c r="AJ80" s="48"/>
      <c r="AK80" s="48"/>
      <c r="AL80" s="48"/>
      <c r="AM80" s="46"/>
      <c r="AN80" s="43"/>
    </row>
    <row r="81" spans="1:12" x14ac:dyDescent="0.3">
      <c r="A81">
        <v>5</v>
      </c>
      <c r="B81">
        <v>2</v>
      </c>
      <c r="C81">
        <v>1</v>
      </c>
      <c r="D81">
        <v>5</v>
      </c>
      <c r="E81">
        <v>1</v>
      </c>
      <c r="F81">
        <v>2</v>
      </c>
      <c r="G81">
        <v>2</v>
      </c>
      <c r="H81">
        <v>4</v>
      </c>
      <c r="I81">
        <v>5</v>
      </c>
      <c r="J81">
        <v>2</v>
      </c>
      <c r="K81">
        <v>2</v>
      </c>
      <c r="L81">
        <v>2</v>
      </c>
    </row>
    <row r="82" spans="1:12" x14ac:dyDescent="0.3">
      <c r="A82">
        <v>3</v>
      </c>
      <c r="B82">
        <v>2</v>
      </c>
      <c r="C82">
        <v>1</v>
      </c>
      <c r="D82">
        <v>4</v>
      </c>
      <c r="E82">
        <v>1</v>
      </c>
      <c r="F82">
        <v>2</v>
      </c>
      <c r="G82">
        <v>5</v>
      </c>
      <c r="H82">
        <v>5</v>
      </c>
      <c r="I82">
        <v>4</v>
      </c>
      <c r="J82">
        <v>4</v>
      </c>
      <c r="K82">
        <v>5</v>
      </c>
      <c r="L82">
        <v>5</v>
      </c>
    </row>
    <row r="83" spans="1:12" x14ac:dyDescent="0.3">
      <c r="A83">
        <v>2</v>
      </c>
      <c r="B83">
        <v>2</v>
      </c>
      <c r="C83">
        <v>2</v>
      </c>
      <c r="D83">
        <v>2</v>
      </c>
      <c r="E83">
        <v>2</v>
      </c>
      <c r="F83">
        <v>3</v>
      </c>
      <c r="G83">
        <v>4</v>
      </c>
      <c r="H83">
        <v>4</v>
      </c>
      <c r="I83">
        <v>4</v>
      </c>
      <c r="J83">
        <v>2</v>
      </c>
      <c r="K83">
        <v>3</v>
      </c>
      <c r="L83">
        <v>5</v>
      </c>
    </row>
    <row r="84" spans="1:12" x14ac:dyDescent="0.3">
      <c r="A84">
        <v>2</v>
      </c>
      <c r="B84">
        <v>2</v>
      </c>
      <c r="C84">
        <v>1</v>
      </c>
      <c r="D84">
        <v>2</v>
      </c>
      <c r="E84">
        <v>2</v>
      </c>
      <c r="F84">
        <v>3</v>
      </c>
      <c r="G84">
        <v>3</v>
      </c>
      <c r="H84">
        <v>4</v>
      </c>
      <c r="I84">
        <v>4</v>
      </c>
      <c r="J84">
        <v>3</v>
      </c>
      <c r="K84">
        <v>3</v>
      </c>
      <c r="L84">
        <v>4</v>
      </c>
    </row>
    <row r="85" spans="1:12" x14ac:dyDescent="0.3">
      <c r="A85">
        <v>2</v>
      </c>
      <c r="B85">
        <v>2</v>
      </c>
      <c r="C85">
        <v>2</v>
      </c>
      <c r="D85">
        <v>2</v>
      </c>
      <c r="E85">
        <v>2</v>
      </c>
      <c r="F85">
        <v>2</v>
      </c>
      <c r="G85">
        <v>4</v>
      </c>
      <c r="H85">
        <v>4</v>
      </c>
      <c r="I85">
        <v>5</v>
      </c>
      <c r="J85">
        <v>3</v>
      </c>
      <c r="K85">
        <v>4</v>
      </c>
      <c r="L85">
        <v>4</v>
      </c>
    </row>
    <row r="86" spans="1:12" x14ac:dyDescent="0.3">
      <c r="A86">
        <v>6</v>
      </c>
      <c r="B86">
        <v>2</v>
      </c>
      <c r="C86">
        <v>3</v>
      </c>
      <c r="D86">
        <v>5</v>
      </c>
      <c r="E86">
        <v>4</v>
      </c>
      <c r="F86">
        <v>2</v>
      </c>
      <c r="G86">
        <v>3</v>
      </c>
      <c r="H86">
        <v>4</v>
      </c>
      <c r="I86">
        <v>4</v>
      </c>
      <c r="J86">
        <v>4</v>
      </c>
      <c r="K86">
        <v>4</v>
      </c>
      <c r="L86">
        <v>5</v>
      </c>
    </row>
    <row r="87" spans="1:12" x14ac:dyDescent="0.3">
      <c r="A87">
        <v>6</v>
      </c>
      <c r="B87">
        <v>2</v>
      </c>
      <c r="C87">
        <v>1</v>
      </c>
      <c r="D87">
        <v>5</v>
      </c>
      <c r="E87">
        <v>2</v>
      </c>
      <c r="F87">
        <v>2</v>
      </c>
      <c r="G87">
        <v>4</v>
      </c>
      <c r="H87">
        <v>4</v>
      </c>
      <c r="I87">
        <v>4</v>
      </c>
      <c r="J87">
        <v>4</v>
      </c>
      <c r="K87">
        <v>4</v>
      </c>
      <c r="L87">
        <v>4</v>
      </c>
    </row>
    <row r="88" spans="1:12" x14ac:dyDescent="0.3">
      <c r="A88">
        <v>3</v>
      </c>
      <c r="B88">
        <v>2</v>
      </c>
      <c r="C88">
        <v>1</v>
      </c>
      <c r="D88">
        <v>2</v>
      </c>
      <c r="E88">
        <v>1</v>
      </c>
      <c r="F88">
        <v>2</v>
      </c>
      <c r="G88">
        <v>5</v>
      </c>
      <c r="H88">
        <v>5</v>
      </c>
      <c r="I88">
        <v>4</v>
      </c>
      <c r="J88">
        <v>4</v>
      </c>
      <c r="K88">
        <v>5</v>
      </c>
      <c r="L88">
        <v>4</v>
      </c>
    </row>
    <row r="89" spans="1:12" x14ac:dyDescent="0.3">
      <c r="A89">
        <v>6</v>
      </c>
      <c r="B89">
        <v>2</v>
      </c>
      <c r="C89">
        <v>3</v>
      </c>
      <c r="D89">
        <v>5</v>
      </c>
      <c r="E89">
        <v>4</v>
      </c>
      <c r="F89">
        <v>2</v>
      </c>
      <c r="G89">
        <v>4</v>
      </c>
      <c r="H89">
        <v>4</v>
      </c>
      <c r="I89">
        <v>4</v>
      </c>
      <c r="J89">
        <v>4</v>
      </c>
      <c r="K89">
        <v>4</v>
      </c>
      <c r="L89">
        <v>3</v>
      </c>
    </row>
    <row r="90" spans="1:12" x14ac:dyDescent="0.3">
      <c r="A90">
        <v>3</v>
      </c>
      <c r="B90">
        <v>2</v>
      </c>
      <c r="C90">
        <v>2</v>
      </c>
      <c r="D90">
        <v>3</v>
      </c>
      <c r="E90">
        <v>2</v>
      </c>
      <c r="F90">
        <v>1</v>
      </c>
      <c r="G90">
        <v>3</v>
      </c>
      <c r="H90">
        <v>4</v>
      </c>
      <c r="I90">
        <v>5</v>
      </c>
      <c r="J90">
        <v>3</v>
      </c>
      <c r="K90">
        <v>2</v>
      </c>
      <c r="L90">
        <v>3</v>
      </c>
    </row>
    <row r="91" spans="1:12" x14ac:dyDescent="0.3">
      <c r="A91">
        <v>3</v>
      </c>
      <c r="B91">
        <v>2</v>
      </c>
      <c r="C91">
        <v>2</v>
      </c>
      <c r="D91">
        <v>3</v>
      </c>
      <c r="E91">
        <v>2</v>
      </c>
      <c r="F91">
        <v>2</v>
      </c>
      <c r="G91">
        <v>4</v>
      </c>
      <c r="H91">
        <v>4</v>
      </c>
      <c r="I91">
        <v>4</v>
      </c>
      <c r="J91">
        <v>4</v>
      </c>
      <c r="K91">
        <v>4</v>
      </c>
      <c r="L91">
        <v>4</v>
      </c>
    </row>
    <row r="92" spans="1:12" x14ac:dyDescent="0.3">
      <c r="A92">
        <v>3</v>
      </c>
      <c r="B92">
        <v>2</v>
      </c>
      <c r="C92">
        <v>2</v>
      </c>
      <c r="D92">
        <v>2</v>
      </c>
      <c r="E92">
        <v>2</v>
      </c>
      <c r="F92">
        <v>2</v>
      </c>
      <c r="G92">
        <v>2</v>
      </c>
      <c r="H92">
        <v>5</v>
      </c>
      <c r="I92">
        <v>5</v>
      </c>
      <c r="J92">
        <v>2</v>
      </c>
      <c r="K92">
        <v>3</v>
      </c>
      <c r="L92">
        <v>3</v>
      </c>
    </row>
    <row r="93" spans="1:12" x14ac:dyDescent="0.3">
      <c r="A93">
        <v>3</v>
      </c>
      <c r="B93">
        <v>2</v>
      </c>
      <c r="C93">
        <v>2</v>
      </c>
      <c r="D93">
        <v>2</v>
      </c>
      <c r="E93">
        <v>2</v>
      </c>
      <c r="F93">
        <v>2</v>
      </c>
      <c r="G93">
        <v>3</v>
      </c>
      <c r="H93">
        <v>5</v>
      </c>
      <c r="I93">
        <v>4</v>
      </c>
      <c r="J93">
        <v>3</v>
      </c>
      <c r="K93">
        <v>4</v>
      </c>
      <c r="L93">
        <v>3</v>
      </c>
    </row>
    <row r="94" spans="1:12" x14ac:dyDescent="0.3">
      <c r="A94">
        <v>4</v>
      </c>
      <c r="B94">
        <v>2</v>
      </c>
      <c r="C94">
        <v>2</v>
      </c>
      <c r="D94">
        <v>4</v>
      </c>
      <c r="E94">
        <v>2</v>
      </c>
      <c r="F94">
        <v>3</v>
      </c>
      <c r="G94">
        <v>5</v>
      </c>
      <c r="H94">
        <v>4</v>
      </c>
      <c r="I94">
        <v>4</v>
      </c>
      <c r="J94">
        <v>4</v>
      </c>
      <c r="K94">
        <v>4</v>
      </c>
      <c r="L94">
        <v>2</v>
      </c>
    </row>
    <row r="95" spans="1:12" x14ac:dyDescent="0.3">
      <c r="A95">
        <v>4</v>
      </c>
      <c r="B95">
        <v>2</v>
      </c>
      <c r="C95">
        <v>3</v>
      </c>
      <c r="D95">
        <v>5</v>
      </c>
      <c r="E95">
        <v>4</v>
      </c>
      <c r="F95">
        <v>3</v>
      </c>
      <c r="G95">
        <v>4</v>
      </c>
      <c r="H95">
        <v>4</v>
      </c>
      <c r="I95">
        <v>5</v>
      </c>
      <c r="J95">
        <v>3</v>
      </c>
      <c r="K95">
        <v>4</v>
      </c>
      <c r="L95">
        <v>3</v>
      </c>
    </row>
    <row r="96" spans="1:12" x14ac:dyDescent="0.3">
      <c r="A96">
        <v>2</v>
      </c>
      <c r="B96">
        <v>2</v>
      </c>
      <c r="C96">
        <v>2</v>
      </c>
      <c r="D96">
        <v>2</v>
      </c>
      <c r="E96">
        <v>2</v>
      </c>
      <c r="F96">
        <v>3</v>
      </c>
      <c r="G96">
        <v>3</v>
      </c>
      <c r="H96">
        <v>5</v>
      </c>
      <c r="I96">
        <v>3</v>
      </c>
      <c r="J96">
        <v>4</v>
      </c>
      <c r="K96">
        <v>5</v>
      </c>
      <c r="L96">
        <v>2</v>
      </c>
    </row>
    <row r="97" spans="1:12" x14ac:dyDescent="0.3">
      <c r="A97">
        <v>4</v>
      </c>
      <c r="B97">
        <v>2</v>
      </c>
      <c r="C97">
        <v>3</v>
      </c>
      <c r="D97">
        <v>5</v>
      </c>
      <c r="E97">
        <v>4</v>
      </c>
      <c r="F97">
        <v>2</v>
      </c>
      <c r="G97">
        <v>2</v>
      </c>
      <c r="H97">
        <v>4</v>
      </c>
      <c r="I97">
        <v>4</v>
      </c>
      <c r="J97">
        <v>2</v>
      </c>
      <c r="K97">
        <v>2</v>
      </c>
      <c r="L97">
        <v>4</v>
      </c>
    </row>
    <row r="98" spans="1:12" x14ac:dyDescent="0.3">
      <c r="A98">
        <v>3</v>
      </c>
      <c r="B98">
        <v>2</v>
      </c>
      <c r="C98">
        <v>2</v>
      </c>
      <c r="D98">
        <v>1</v>
      </c>
      <c r="E98">
        <v>2</v>
      </c>
      <c r="F98">
        <v>2</v>
      </c>
      <c r="G98">
        <v>5</v>
      </c>
      <c r="H98">
        <v>5</v>
      </c>
      <c r="I98">
        <v>5</v>
      </c>
      <c r="J98">
        <v>4</v>
      </c>
      <c r="K98">
        <v>4</v>
      </c>
      <c r="L98">
        <v>5</v>
      </c>
    </row>
    <row r="99" spans="1:12" x14ac:dyDescent="0.3">
      <c r="A99">
        <v>3</v>
      </c>
      <c r="B99">
        <v>2</v>
      </c>
      <c r="C99">
        <v>2</v>
      </c>
      <c r="D99">
        <v>2</v>
      </c>
      <c r="E99">
        <v>2</v>
      </c>
      <c r="F99">
        <v>2</v>
      </c>
      <c r="G99">
        <v>4</v>
      </c>
      <c r="H99">
        <v>4</v>
      </c>
      <c r="I99">
        <v>4</v>
      </c>
      <c r="J99">
        <v>3</v>
      </c>
      <c r="K99">
        <v>4</v>
      </c>
      <c r="L99">
        <v>4</v>
      </c>
    </row>
    <row r="100" spans="1:12" x14ac:dyDescent="0.3">
      <c r="A100">
        <v>4</v>
      </c>
      <c r="B100">
        <v>2</v>
      </c>
      <c r="C100">
        <v>2</v>
      </c>
      <c r="D100">
        <v>4</v>
      </c>
      <c r="E100">
        <v>4</v>
      </c>
      <c r="F100">
        <v>2</v>
      </c>
      <c r="G100">
        <v>3</v>
      </c>
      <c r="H100">
        <v>2</v>
      </c>
      <c r="I100">
        <v>4</v>
      </c>
      <c r="J100">
        <v>2</v>
      </c>
      <c r="K100">
        <v>2</v>
      </c>
      <c r="L100">
        <v>4</v>
      </c>
    </row>
    <row r="101" spans="1:12" x14ac:dyDescent="0.3">
      <c r="A101">
        <v>3</v>
      </c>
      <c r="B101">
        <v>2</v>
      </c>
      <c r="C101">
        <v>2</v>
      </c>
      <c r="D101">
        <v>2</v>
      </c>
      <c r="E101">
        <v>2</v>
      </c>
      <c r="F101">
        <v>2</v>
      </c>
      <c r="G101">
        <v>4</v>
      </c>
      <c r="H101">
        <v>4</v>
      </c>
      <c r="I101">
        <v>5</v>
      </c>
      <c r="J101">
        <v>4</v>
      </c>
      <c r="K101">
        <v>4</v>
      </c>
      <c r="L101">
        <v>2</v>
      </c>
    </row>
    <row r="102" spans="1:12" x14ac:dyDescent="0.3">
      <c r="A102">
        <v>5</v>
      </c>
      <c r="B102">
        <v>2</v>
      </c>
      <c r="C102">
        <v>3</v>
      </c>
      <c r="D102">
        <v>5</v>
      </c>
      <c r="E102">
        <v>4</v>
      </c>
      <c r="F102">
        <v>2</v>
      </c>
      <c r="G102">
        <v>4</v>
      </c>
      <c r="H102">
        <v>4</v>
      </c>
      <c r="I102">
        <v>3</v>
      </c>
      <c r="J102">
        <v>2</v>
      </c>
      <c r="K102">
        <v>3</v>
      </c>
      <c r="L102">
        <v>3</v>
      </c>
    </row>
    <row r="103" spans="1:12" x14ac:dyDescent="0.3">
      <c r="A103">
        <v>4</v>
      </c>
      <c r="B103">
        <v>2</v>
      </c>
      <c r="C103">
        <v>1</v>
      </c>
      <c r="D103">
        <v>2</v>
      </c>
      <c r="E103">
        <v>1</v>
      </c>
      <c r="F103">
        <v>2</v>
      </c>
      <c r="G103">
        <v>3</v>
      </c>
      <c r="H103">
        <v>4</v>
      </c>
      <c r="I103">
        <v>4</v>
      </c>
      <c r="J103">
        <v>4</v>
      </c>
      <c r="K103">
        <v>3</v>
      </c>
      <c r="L103">
        <v>3</v>
      </c>
    </row>
    <row r="104" spans="1:12" x14ac:dyDescent="0.3">
      <c r="A104">
        <v>2</v>
      </c>
      <c r="B104">
        <v>2</v>
      </c>
      <c r="C104">
        <v>2</v>
      </c>
      <c r="D104">
        <v>2</v>
      </c>
      <c r="E104">
        <v>2</v>
      </c>
      <c r="F104">
        <v>2</v>
      </c>
      <c r="G104">
        <v>4</v>
      </c>
      <c r="H104">
        <v>3</v>
      </c>
      <c r="I104">
        <v>3</v>
      </c>
      <c r="J104">
        <v>3</v>
      </c>
      <c r="K104">
        <v>2</v>
      </c>
      <c r="L104">
        <v>2</v>
      </c>
    </row>
    <row r="105" spans="1:12" x14ac:dyDescent="0.3">
      <c r="A105">
        <v>3</v>
      </c>
      <c r="B105">
        <v>2</v>
      </c>
      <c r="C105">
        <v>2</v>
      </c>
      <c r="D105">
        <v>3</v>
      </c>
      <c r="E105">
        <v>2</v>
      </c>
      <c r="F105">
        <v>3</v>
      </c>
      <c r="G105">
        <v>2</v>
      </c>
      <c r="H105">
        <v>5</v>
      </c>
      <c r="I105">
        <v>5</v>
      </c>
      <c r="J105">
        <v>4</v>
      </c>
      <c r="K105">
        <v>4</v>
      </c>
      <c r="L105">
        <v>3</v>
      </c>
    </row>
    <row r="106" spans="1:12" x14ac:dyDescent="0.3">
      <c r="A106">
        <v>3</v>
      </c>
      <c r="B106">
        <v>2</v>
      </c>
      <c r="C106">
        <v>2</v>
      </c>
      <c r="D106">
        <v>3</v>
      </c>
      <c r="E106">
        <v>2</v>
      </c>
      <c r="F106">
        <v>3</v>
      </c>
      <c r="G106">
        <v>4</v>
      </c>
      <c r="H106">
        <v>5</v>
      </c>
      <c r="I106">
        <v>4</v>
      </c>
      <c r="J106">
        <v>4</v>
      </c>
      <c r="K106">
        <v>4</v>
      </c>
      <c r="L106">
        <v>3</v>
      </c>
    </row>
    <row r="107" spans="1:12" x14ac:dyDescent="0.3">
      <c r="A107">
        <v>5</v>
      </c>
      <c r="B107">
        <v>2</v>
      </c>
      <c r="C107">
        <v>3</v>
      </c>
      <c r="D107">
        <v>5</v>
      </c>
      <c r="E107">
        <v>4</v>
      </c>
      <c r="F107">
        <v>3</v>
      </c>
      <c r="G107">
        <v>3</v>
      </c>
      <c r="H107">
        <v>4</v>
      </c>
      <c r="I107">
        <v>5</v>
      </c>
      <c r="J107">
        <v>4</v>
      </c>
      <c r="K107">
        <v>4</v>
      </c>
      <c r="L107">
        <v>4</v>
      </c>
    </row>
    <row r="108" spans="1:12" x14ac:dyDescent="0.3">
      <c r="A108">
        <v>4</v>
      </c>
      <c r="B108">
        <v>2</v>
      </c>
      <c r="C108">
        <v>2</v>
      </c>
      <c r="D108">
        <v>5</v>
      </c>
      <c r="E108">
        <v>4</v>
      </c>
      <c r="F108">
        <v>2</v>
      </c>
      <c r="G108">
        <v>3</v>
      </c>
      <c r="H108">
        <v>4</v>
      </c>
      <c r="I108">
        <v>4</v>
      </c>
      <c r="J108">
        <v>3</v>
      </c>
      <c r="K108">
        <v>3</v>
      </c>
      <c r="L108">
        <v>3</v>
      </c>
    </row>
    <row r="109" spans="1:12" x14ac:dyDescent="0.3">
      <c r="A109">
        <v>2</v>
      </c>
      <c r="B109">
        <v>2</v>
      </c>
      <c r="C109">
        <v>2</v>
      </c>
      <c r="D109">
        <v>2</v>
      </c>
      <c r="E109">
        <v>2</v>
      </c>
      <c r="F109">
        <v>2</v>
      </c>
      <c r="G109">
        <v>3</v>
      </c>
      <c r="H109">
        <v>4</v>
      </c>
      <c r="I109">
        <v>3</v>
      </c>
      <c r="J109">
        <v>2</v>
      </c>
      <c r="K109">
        <v>3</v>
      </c>
      <c r="L109">
        <v>4</v>
      </c>
    </row>
    <row r="110" spans="1:12" x14ac:dyDescent="0.3">
      <c r="A110">
        <v>3</v>
      </c>
      <c r="B110">
        <v>2</v>
      </c>
      <c r="C110">
        <v>1</v>
      </c>
      <c r="D110">
        <v>2</v>
      </c>
      <c r="E110">
        <v>2</v>
      </c>
      <c r="F110">
        <v>2</v>
      </c>
      <c r="G110">
        <v>4</v>
      </c>
      <c r="H110">
        <v>5</v>
      </c>
      <c r="I110">
        <v>4</v>
      </c>
      <c r="J110">
        <v>2</v>
      </c>
      <c r="K110">
        <v>2</v>
      </c>
      <c r="L110">
        <v>2</v>
      </c>
    </row>
    <row r="111" spans="1:12" x14ac:dyDescent="0.3">
      <c r="A111">
        <v>3</v>
      </c>
      <c r="B111">
        <v>2</v>
      </c>
      <c r="C111">
        <v>2</v>
      </c>
      <c r="D111">
        <v>2</v>
      </c>
      <c r="E111">
        <v>2</v>
      </c>
      <c r="F111">
        <v>3</v>
      </c>
      <c r="G111">
        <v>4</v>
      </c>
      <c r="H111">
        <v>5</v>
      </c>
      <c r="I111">
        <v>4</v>
      </c>
      <c r="J111">
        <v>3</v>
      </c>
      <c r="K111">
        <v>4</v>
      </c>
      <c r="L111">
        <v>4</v>
      </c>
    </row>
    <row r="112" spans="1:12" x14ac:dyDescent="0.3">
      <c r="A112">
        <v>4</v>
      </c>
      <c r="B112">
        <v>2</v>
      </c>
      <c r="C112">
        <v>2</v>
      </c>
      <c r="D112">
        <v>3</v>
      </c>
      <c r="E112">
        <v>3</v>
      </c>
      <c r="F112">
        <v>2</v>
      </c>
      <c r="G112">
        <v>3</v>
      </c>
      <c r="H112">
        <v>4</v>
      </c>
      <c r="I112">
        <v>4</v>
      </c>
      <c r="J112">
        <v>3</v>
      </c>
      <c r="K112">
        <v>5</v>
      </c>
      <c r="L112">
        <v>3</v>
      </c>
    </row>
    <row r="113" spans="1:12" x14ac:dyDescent="0.3">
      <c r="A113">
        <v>5</v>
      </c>
      <c r="B113">
        <v>2</v>
      </c>
      <c r="C113">
        <v>2</v>
      </c>
      <c r="D113">
        <v>3</v>
      </c>
      <c r="E113">
        <v>4</v>
      </c>
      <c r="F113">
        <v>2</v>
      </c>
      <c r="G113">
        <v>4</v>
      </c>
      <c r="H113">
        <v>5</v>
      </c>
      <c r="I113">
        <v>4</v>
      </c>
      <c r="J113">
        <v>4</v>
      </c>
      <c r="K113">
        <v>4</v>
      </c>
      <c r="L113">
        <v>4</v>
      </c>
    </row>
    <row r="114" spans="1:12" x14ac:dyDescent="0.3">
      <c r="A114">
        <v>5</v>
      </c>
      <c r="B114">
        <v>2</v>
      </c>
      <c r="C114">
        <v>1</v>
      </c>
      <c r="D114">
        <v>4</v>
      </c>
      <c r="E114">
        <v>2</v>
      </c>
      <c r="F114">
        <v>2</v>
      </c>
      <c r="G114">
        <v>3</v>
      </c>
      <c r="H114">
        <v>5</v>
      </c>
      <c r="I114">
        <v>4</v>
      </c>
      <c r="J114">
        <v>4</v>
      </c>
      <c r="K114">
        <v>4</v>
      </c>
      <c r="L114">
        <v>4</v>
      </c>
    </row>
    <row r="115" spans="1:12" x14ac:dyDescent="0.3">
      <c r="A115">
        <v>2</v>
      </c>
      <c r="B115">
        <v>2</v>
      </c>
      <c r="C115">
        <v>2</v>
      </c>
      <c r="D115">
        <v>1</v>
      </c>
      <c r="E115">
        <v>2</v>
      </c>
      <c r="F115">
        <v>2</v>
      </c>
      <c r="G115">
        <v>3</v>
      </c>
      <c r="H115">
        <v>4</v>
      </c>
      <c r="I115">
        <v>5</v>
      </c>
      <c r="J115">
        <v>4</v>
      </c>
      <c r="K115">
        <v>4</v>
      </c>
      <c r="L115">
        <v>5</v>
      </c>
    </row>
    <row r="116" spans="1:12" x14ac:dyDescent="0.3">
      <c r="A116">
        <v>2</v>
      </c>
      <c r="B116">
        <v>2</v>
      </c>
      <c r="C116">
        <v>2</v>
      </c>
      <c r="D116">
        <v>1</v>
      </c>
      <c r="E116">
        <v>2</v>
      </c>
      <c r="F116">
        <v>3</v>
      </c>
      <c r="G116">
        <v>4</v>
      </c>
      <c r="H116">
        <v>5</v>
      </c>
      <c r="I116">
        <v>5</v>
      </c>
      <c r="J116">
        <v>4</v>
      </c>
      <c r="K116">
        <v>4</v>
      </c>
      <c r="L116">
        <v>4</v>
      </c>
    </row>
    <row r="117" spans="1:12" x14ac:dyDescent="0.3">
      <c r="A117">
        <v>2</v>
      </c>
      <c r="B117">
        <v>2</v>
      </c>
      <c r="C117">
        <v>2</v>
      </c>
      <c r="D117">
        <v>2</v>
      </c>
      <c r="E117">
        <v>2</v>
      </c>
      <c r="F117">
        <v>2</v>
      </c>
      <c r="G117">
        <v>2</v>
      </c>
      <c r="H117">
        <v>5</v>
      </c>
      <c r="I117">
        <v>5</v>
      </c>
      <c r="J117">
        <v>3</v>
      </c>
      <c r="K117">
        <v>4</v>
      </c>
      <c r="L117">
        <v>4</v>
      </c>
    </row>
    <row r="118" spans="1:12" x14ac:dyDescent="0.3">
      <c r="A118">
        <v>4</v>
      </c>
      <c r="B118">
        <v>2</v>
      </c>
      <c r="C118">
        <v>2</v>
      </c>
      <c r="D118">
        <v>2</v>
      </c>
      <c r="E118">
        <v>2</v>
      </c>
      <c r="F118">
        <v>2</v>
      </c>
      <c r="G118">
        <v>5</v>
      </c>
      <c r="H118">
        <v>5</v>
      </c>
      <c r="I118">
        <v>5</v>
      </c>
      <c r="J118">
        <v>5</v>
      </c>
      <c r="K118">
        <v>5</v>
      </c>
      <c r="L118">
        <v>3</v>
      </c>
    </row>
    <row r="119" spans="1:12" x14ac:dyDescent="0.3">
      <c r="A119">
        <v>3</v>
      </c>
      <c r="B119">
        <v>2</v>
      </c>
      <c r="C119">
        <v>2</v>
      </c>
      <c r="D119">
        <v>2</v>
      </c>
      <c r="E119">
        <v>2</v>
      </c>
      <c r="F119">
        <v>2</v>
      </c>
      <c r="G119">
        <v>4</v>
      </c>
      <c r="H119">
        <v>5</v>
      </c>
      <c r="I119">
        <v>5</v>
      </c>
      <c r="J119">
        <v>2</v>
      </c>
      <c r="K119">
        <v>3</v>
      </c>
      <c r="L119">
        <v>3</v>
      </c>
    </row>
    <row r="120" spans="1:12" x14ac:dyDescent="0.3">
      <c r="A120">
        <v>3</v>
      </c>
      <c r="B120">
        <v>2</v>
      </c>
      <c r="C120">
        <v>1</v>
      </c>
      <c r="D120">
        <v>2</v>
      </c>
      <c r="E120">
        <v>1</v>
      </c>
      <c r="F120">
        <v>3</v>
      </c>
      <c r="G120">
        <v>4</v>
      </c>
      <c r="H120">
        <v>5</v>
      </c>
      <c r="I120">
        <v>4</v>
      </c>
      <c r="J120">
        <v>1</v>
      </c>
      <c r="K120">
        <v>3</v>
      </c>
      <c r="L120">
        <v>2</v>
      </c>
    </row>
    <row r="121" spans="1:12" x14ac:dyDescent="0.3">
      <c r="A121">
        <v>3</v>
      </c>
      <c r="B121">
        <v>2</v>
      </c>
      <c r="C121">
        <v>2</v>
      </c>
      <c r="D121">
        <v>3</v>
      </c>
      <c r="E121">
        <v>3</v>
      </c>
      <c r="F121">
        <v>3</v>
      </c>
      <c r="G121">
        <v>2</v>
      </c>
      <c r="H121">
        <v>4</v>
      </c>
      <c r="I121">
        <v>5</v>
      </c>
      <c r="J121">
        <v>3</v>
      </c>
      <c r="K121">
        <v>4</v>
      </c>
      <c r="L121">
        <v>5</v>
      </c>
    </row>
    <row r="122" spans="1:12" x14ac:dyDescent="0.3">
      <c r="A122">
        <v>6</v>
      </c>
      <c r="B122">
        <v>2</v>
      </c>
      <c r="C122">
        <v>1</v>
      </c>
      <c r="D122">
        <v>3</v>
      </c>
      <c r="E122">
        <v>1</v>
      </c>
      <c r="F122">
        <v>2</v>
      </c>
      <c r="G122">
        <v>4</v>
      </c>
      <c r="H122">
        <v>5</v>
      </c>
      <c r="I122">
        <v>5</v>
      </c>
      <c r="J122">
        <v>5</v>
      </c>
      <c r="K122">
        <v>5</v>
      </c>
      <c r="L122">
        <v>4</v>
      </c>
    </row>
    <row r="123" spans="1:12" x14ac:dyDescent="0.3">
      <c r="A123">
        <v>4</v>
      </c>
      <c r="B123">
        <v>2</v>
      </c>
      <c r="C123">
        <v>3</v>
      </c>
      <c r="D123">
        <v>4</v>
      </c>
      <c r="E123">
        <v>4</v>
      </c>
      <c r="F123">
        <v>2</v>
      </c>
      <c r="G123">
        <v>1</v>
      </c>
      <c r="H123">
        <v>5</v>
      </c>
      <c r="I123">
        <v>4</v>
      </c>
      <c r="J123">
        <v>1</v>
      </c>
      <c r="K123">
        <v>3</v>
      </c>
      <c r="L123">
        <v>2</v>
      </c>
    </row>
    <row r="124" spans="1:12" x14ac:dyDescent="0.3">
      <c r="A124">
        <v>4</v>
      </c>
      <c r="B124">
        <v>2</v>
      </c>
      <c r="C124">
        <v>3</v>
      </c>
      <c r="D124">
        <v>5</v>
      </c>
      <c r="E124">
        <v>3</v>
      </c>
      <c r="F124">
        <v>2</v>
      </c>
      <c r="G124">
        <v>3</v>
      </c>
      <c r="H124">
        <v>3</v>
      </c>
      <c r="I124">
        <v>4</v>
      </c>
      <c r="J124">
        <v>3</v>
      </c>
      <c r="K124">
        <v>2</v>
      </c>
      <c r="L124">
        <v>3</v>
      </c>
    </row>
    <row r="125" spans="1:12" x14ac:dyDescent="0.3">
      <c r="A125">
        <v>5</v>
      </c>
      <c r="B125">
        <v>2</v>
      </c>
      <c r="C125">
        <v>2</v>
      </c>
      <c r="D125">
        <v>5</v>
      </c>
      <c r="E125">
        <v>4</v>
      </c>
      <c r="F125">
        <v>2</v>
      </c>
      <c r="G125">
        <v>5</v>
      </c>
      <c r="H125">
        <v>4</v>
      </c>
      <c r="I125">
        <v>4</v>
      </c>
      <c r="J125">
        <v>4</v>
      </c>
      <c r="K125">
        <v>5</v>
      </c>
      <c r="L125">
        <v>5</v>
      </c>
    </row>
    <row r="126" spans="1:12" x14ac:dyDescent="0.3">
      <c r="A126">
        <v>3</v>
      </c>
      <c r="B126">
        <v>2</v>
      </c>
      <c r="C126">
        <v>2</v>
      </c>
      <c r="D126">
        <v>3</v>
      </c>
      <c r="E126">
        <v>2</v>
      </c>
      <c r="F126">
        <v>3</v>
      </c>
      <c r="G126">
        <v>3</v>
      </c>
      <c r="H126">
        <v>4</v>
      </c>
      <c r="I126">
        <v>5</v>
      </c>
      <c r="J126">
        <v>3</v>
      </c>
      <c r="K126">
        <v>5</v>
      </c>
      <c r="L126">
        <v>3</v>
      </c>
    </row>
    <row r="127" spans="1:12" x14ac:dyDescent="0.3">
      <c r="A127">
        <v>6</v>
      </c>
      <c r="B127">
        <v>2</v>
      </c>
      <c r="C127">
        <v>3</v>
      </c>
      <c r="D127">
        <v>5</v>
      </c>
      <c r="E127">
        <v>4</v>
      </c>
      <c r="F127">
        <v>2</v>
      </c>
      <c r="G127">
        <v>5</v>
      </c>
      <c r="H127">
        <v>4</v>
      </c>
      <c r="I127">
        <v>4</v>
      </c>
      <c r="J127">
        <v>3</v>
      </c>
      <c r="K127">
        <v>4</v>
      </c>
      <c r="L127">
        <v>4</v>
      </c>
    </row>
    <row r="128" spans="1:12" x14ac:dyDescent="0.3">
      <c r="A128">
        <v>3</v>
      </c>
      <c r="B128">
        <v>2</v>
      </c>
      <c r="C128">
        <v>2</v>
      </c>
      <c r="D128">
        <v>2</v>
      </c>
      <c r="E128">
        <v>2</v>
      </c>
      <c r="F128">
        <v>3</v>
      </c>
      <c r="G128">
        <v>2</v>
      </c>
      <c r="H128">
        <v>3</v>
      </c>
      <c r="I128">
        <v>4</v>
      </c>
      <c r="J128">
        <v>3</v>
      </c>
      <c r="K128">
        <v>3</v>
      </c>
      <c r="L128">
        <v>1</v>
      </c>
    </row>
    <row r="129" spans="1:12" x14ac:dyDescent="0.3">
      <c r="A129">
        <v>3</v>
      </c>
      <c r="B129">
        <v>2</v>
      </c>
      <c r="C129">
        <v>2</v>
      </c>
      <c r="D129">
        <v>2</v>
      </c>
      <c r="E129">
        <v>2</v>
      </c>
      <c r="F129">
        <v>2</v>
      </c>
      <c r="G129">
        <v>4</v>
      </c>
      <c r="H129">
        <v>5</v>
      </c>
      <c r="I129">
        <v>5</v>
      </c>
      <c r="J129">
        <v>2</v>
      </c>
      <c r="K129">
        <v>4</v>
      </c>
      <c r="L129">
        <v>1</v>
      </c>
    </row>
    <row r="130" spans="1:12" x14ac:dyDescent="0.3">
      <c r="A130">
        <v>4</v>
      </c>
      <c r="B130">
        <v>2</v>
      </c>
      <c r="C130">
        <v>1</v>
      </c>
      <c r="D130">
        <v>4</v>
      </c>
      <c r="E130">
        <v>1</v>
      </c>
      <c r="F130">
        <v>2</v>
      </c>
      <c r="G130">
        <v>2</v>
      </c>
      <c r="H130">
        <v>1</v>
      </c>
      <c r="I130">
        <v>1</v>
      </c>
      <c r="J130">
        <v>1</v>
      </c>
      <c r="K130">
        <v>2</v>
      </c>
      <c r="L130">
        <v>2</v>
      </c>
    </row>
    <row r="131" spans="1:12" x14ac:dyDescent="0.3">
      <c r="A131">
        <v>5</v>
      </c>
      <c r="B131">
        <v>2</v>
      </c>
      <c r="C131">
        <v>2</v>
      </c>
      <c r="D131">
        <v>2</v>
      </c>
      <c r="E131">
        <v>3</v>
      </c>
      <c r="F131">
        <v>2</v>
      </c>
      <c r="G131">
        <v>5</v>
      </c>
      <c r="H131">
        <v>5</v>
      </c>
      <c r="I131">
        <v>5</v>
      </c>
      <c r="J131">
        <v>3</v>
      </c>
      <c r="K131">
        <v>4</v>
      </c>
      <c r="L131">
        <v>3</v>
      </c>
    </row>
    <row r="132" spans="1:12" x14ac:dyDescent="0.3">
      <c r="A132">
        <v>4</v>
      </c>
      <c r="B132">
        <v>2</v>
      </c>
      <c r="C132">
        <v>3</v>
      </c>
      <c r="D132">
        <v>3</v>
      </c>
      <c r="E132">
        <v>2</v>
      </c>
      <c r="F132">
        <v>2</v>
      </c>
      <c r="G132">
        <v>3</v>
      </c>
      <c r="H132">
        <v>4</v>
      </c>
      <c r="I132">
        <v>5</v>
      </c>
      <c r="J132">
        <v>4</v>
      </c>
      <c r="K132">
        <v>5</v>
      </c>
      <c r="L132">
        <v>4</v>
      </c>
    </row>
    <row r="133" spans="1:12" x14ac:dyDescent="0.3">
      <c r="A133">
        <v>3</v>
      </c>
      <c r="B133">
        <v>2</v>
      </c>
      <c r="C133">
        <v>2</v>
      </c>
      <c r="D133">
        <v>2</v>
      </c>
      <c r="E133">
        <v>3</v>
      </c>
      <c r="F133">
        <v>2</v>
      </c>
      <c r="G133">
        <v>4</v>
      </c>
      <c r="H133">
        <v>4</v>
      </c>
      <c r="I133">
        <v>2</v>
      </c>
      <c r="J133">
        <v>2</v>
      </c>
      <c r="K133">
        <v>2</v>
      </c>
      <c r="L133">
        <v>2</v>
      </c>
    </row>
    <row r="134" spans="1:12" x14ac:dyDescent="0.3">
      <c r="A134">
        <v>2</v>
      </c>
      <c r="B134">
        <v>1</v>
      </c>
      <c r="C134">
        <v>1</v>
      </c>
      <c r="D134">
        <v>1</v>
      </c>
      <c r="E134">
        <v>1</v>
      </c>
      <c r="F134">
        <v>2</v>
      </c>
      <c r="G134">
        <v>3</v>
      </c>
      <c r="H134">
        <v>2</v>
      </c>
      <c r="I134">
        <v>4</v>
      </c>
      <c r="J134">
        <v>2</v>
      </c>
      <c r="K134">
        <v>4</v>
      </c>
      <c r="L134">
        <v>3</v>
      </c>
    </row>
    <row r="135" spans="1:12" x14ac:dyDescent="0.3">
      <c r="A135">
        <v>5</v>
      </c>
      <c r="B135">
        <v>2</v>
      </c>
      <c r="C135">
        <v>1</v>
      </c>
      <c r="D135">
        <v>2</v>
      </c>
      <c r="E135">
        <v>1</v>
      </c>
      <c r="F135">
        <v>1</v>
      </c>
      <c r="G135">
        <v>5</v>
      </c>
      <c r="H135">
        <v>4</v>
      </c>
      <c r="I135">
        <v>4</v>
      </c>
      <c r="J135">
        <v>5</v>
      </c>
      <c r="K135">
        <v>5</v>
      </c>
      <c r="L135">
        <v>1</v>
      </c>
    </row>
    <row r="136" spans="1:12" x14ac:dyDescent="0.3">
      <c r="A136">
        <v>4</v>
      </c>
      <c r="B136">
        <v>2</v>
      </c>
      <c r="C136">
        <v>3</v>
      </c>
      <c r="D136">
        <v>4</v>
      </c>
      <c r="E136">
        <v>3</v>
      </c>
      <c r="F136">
        <v>2</v>
      </c>
      <c r="G136">
        <v>3</v>
      </c>
      <c r="H136">
        <v>4</v>
      </c>
      <c r="I136">
        <v>4</v>
      </c>
      <c r="J136">
        <v>4</v>
      </c>
      <c r="K136">
        <v>4</v>
      </c>
      <c r="L136">
        <v>3</v>
      </c>
    </row>
    <row r="137" spans="1:12" x14ac:dyDescent="0.3">
      <c r="A137">
        <v>3</v>
      </c>
      <c r="B137">
        <v>2</v>
      </c>
      <c r="C137">
        <v>2</v>
      </c>
      <c r="D137">
        <v>3</v>
      </c>
      <c r="E137">
        <v>2</v>
      </c>
      <c r="F137">
        <v>2</v>
      </c>
      <c r="G137">
        <v>3</v>
      </c>
      <c r="H137">
        <v>2</v>
      </c>
      <c r="I137">
        <v>4</v>
      </c>
      <c r="J137">
        <v>2</v>
      </c>
      <c r="K137">
        <v>4</v>
      </c>
      <c r="L137">
        <v>2</v>
      </c>
    </row>
  </sheetData>
  <mergeCells count="18">
    <mergeCell ref="P1:U1"/>
    <mergeCell ref="Y1:AD1"/>
    <mergeCell ref="AH1:AM1"/>
    <mergeCell ref="P15:U15"/>
    <mergeCell ref="Y15:AD15"/>
    <mergeCell ref="AG15:AM15"/>
    <mergeCell ref="P57:U57"/>
    <mergeCell ref="P71:U71"/>
    <mergeCell ref="P29:U29"/>
    <mergeCell ref="Y29:AD29"/>
    <mergeCell ref="AG29:AM29"/>
    <mergeCell ref="P43:U43"/>
    <mergeCell ref="Y43:AD43"/>
    <mergeCell ref="AG43:AM43"/>
    <mergeCell ref="Y57:AD57"/>
    <mergeCell ref="Y71:AD71"/>
    <mergeCell ref="AH57:AM57"/>
    <mergeCell ref="AH71:AM71"/>
  </mergeCells>
  <hyperlinks>
    <hyperlink ref="AM17" r:id="rId1" display="=@sum(AH18:AL18)"/>
    <hyperlink ref="AM3" r:id="rId2" display="=@sum(AH3:AL3)"/>
    <hyperlink ref="AQ5" r:id="rId3" display="=@sum(AH3:AL8)"/>
    <hyperlink ref="AD17" r:id="rId4" display="=@sum(Y17:AD17)"/>
    <hyperlink ref="U17" r:id="rId5" display="=@sum(P3:U3"/>
    <hyperlink ref="U20:U23" r:id="rId6" display="=@sum(P3:U3"/>
    <hyperlink ref="U45" r:id="rId7" display="=@sum(P45:T45)"/>
    <hyperlink ref="U59" r:id="rId8" display="=@sum(P59:T59)"/>
    <hyperlink ref="U73" r:id="rId9" display="=@sum(P73:T73"/>
    <hyperlink ref="AM31" r:id="rId10" display="=@sum(AH18:AL18)"/>
    <hyperlink ref="AD31" r:id="rId11" display="=@sum(Y17:AD17)"/>
    <hyperlink ref="AM45" r:id="rId12" display="=@sum(AH18:AL18)"/>
    <hyperlink ref="AD45" r:id="rId13" display="=@sum(Y17:AD17)"/>
    <hyperlink ref="AM59" r:id="rId14" display="=@sum(AH18:AL18)"/>
    <hyperlink ref="AD59" r:id="rId15" display="=@sum(Y17:AD17)"/>
    <hyperlink ref="AM73" r:id="rId16" display="=@sum(AH18:AL18)"/>
    <hyperlink ref="AD73" r:id="rId17" display="=@sum(Y17:AD17)"/>
    <hyperlink ref="AD4" r:id="rId18" display="=@SUM(Y4:AC4)"/>
    <hyperlink ref="AM4:AM5" r:id="rId19" display="=@sum(AH3:AL3)"/>
    <hyperlink ref="AD5" r:id="rId20" display="=@SUM(Y4:AC4)"/>
    <hyperlink ref="AD3" r:id="rId21" display="=@SUM(Y4:AC4)"/>
    <hyperlink ref="AM74" r:id="rId22" display="=@sum(AH18:AL18)"/>
    <hyperlink ref="Y6" r:id="rId23" display="=@sum(Y3:Y5)"/>
    <hyperlink ref="U18:U20" r:id="rId24" display="=@sum(P3:U3"/>
    <hyperlink ref="U31" r:id="rId25" display="=@sum(P3:U3"/>
    <hyperlink ref="P34" r:id="rId26" display="=@sum(P3:P5)"/>
    <hyperlink ref="Y48" r:id="rId27" display="-@SUM(Y45:Y47)"/>
    <hyperlink ref="P6" r:id="rId28" display="=@sum(P3:P5)"/>
    <hyperlink ref="P20" r:id="rId29" display="=@sum(P17:P20)"/>
    <hyperlink ref="Q6:U6" r:id="rId30" display="=@sum(P3:P5)"/>
    <hyperlink ref="Z6:AD6" r:id="rId31" display="=@sum(Y3:Y5)"/>
    <hyperlink ref="AH6" r:id="rId32" display="=@sum(AH3:AH5)"/>
    <hyperlink ref="AI6:AM6" r:id="rId33" display="=@sum(AH3:AH5)"/>
    <hyperlink ref="Q20:U20" r:id="rId34" display="=@sum(P17:P20)"/>
    <hyperlink ref="Y20" r:id="rId35" display="=@sum(Y17:Y19)"/>
    <hyperlink ref="Z20:AD20" r:id="rId36" display="=@sum(Y17:Y19)"/>
    <hyperlink ref="AH20" r:id="rId37" display="=@sum(AH17:AH19)"/>
    <hyperlink ref="AI20:AM20" r:id="rId38" display="=@sum(AH17:AH19)"/>
    <hyperlink ref="Q34:U34" r:id="rId39" display="=@sum(P3:P5)"/>
    <hyperlink ref="Y34" r:id="rId40" display="=@sum(Y31:Y33)"/>
    <hyperlink ref="Z34:AD34" r:id="rId41" display="=@sum(Y31:Y33)"/>
    <hyperlink ref="AH34" r:id="rId42" display="=@sum(AH31:AH33)"/>
    <hyperlink ref="AI34:AM34" r:id="rId43" display="=@sum(AH31:AH33)"/>
    <hyperlink ref="P48" r:id="rId44" display="=@sum(P45:P47)"/>
    <hyperlink ref="Q48:U48" r:id="rId45" display="=@sum(P45:P47)"/>
    <hyperlink ref="Z48:AD48" r:id="rId46" display="-@SUM(Y45:Y47)"/>
    <hyperlink ref="AH48" r:id="rId47" display="=@sum(AH45:AH47)"/>
    <hyperlink ref="AI48:AM48" r:id="rId48" display="=@sum(AH45:AH47)"/>
    <hyperlink ref="P62" r:id="rId49" display="=@sum(P59:P61)"/>
    <hyperlink ref="Q62:U62" r:id="rId50" display="=@sum(P59:P61)"/>
    <hyperlink ref="Y62" r:id="rId51" display="=@sum(Y59:Y61)"/>
    <hyperlink ref="Z62:AD62" r:id="rId52" display="=@sum(Y59:Y61)"/>
    <hyperlink ref="AH62" r:id="rId53" display="=@SUM(AH59:AH61)"/>
    <hyperlink ref="AI62:AM62" r:id="rId54" display="=@SUM(AH59:AH61)"/>
    <hyperlink ref="Y76" r:id="rId55" display="=@sum(Y73:Y75)"/>
    <hyperlink ref="Z76:AD76" r:id="rId56" display="=@sum(Y73:Y75)"/>
    <hyperlink ref="P76" r:id="rId57" display="=@sum(P73:P75)"/>
    <hyperlink ref="Q76:U76" r:id="rId58" display="=@sum(P73:P75)"/>
    <hyperlink ref="AH76" r:id="rId59" display="=@sum(AH73:AH75)"/>
    <hyperlink ref="AI76:AM76" r:id="rId60" display="=@sum(AH73:AH75)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2"/>
  <sheetViews>
    <sheetView topLeftCell="A27" workbookViewId="0">
      <selection activeCell="D46" sqref="D46"/>
    </sheetView>
  </sheetViews>
  <sheetFormatPr defaultRowHeight="14.4" x14ac:dyDescent="0.3"/>
  <cols>
    <col min="3" max="3" width="67.5546875" customWidth="1"/>
    <col min="4" max="4" width="66.21875" customWidth="1"/>
    <col min="5" max="5" width="24.21875" customWidth="1"/>
  </cols>
  <sheetData>
    <row r="1" spans="1:5" ht="15.6" x14ac:dyDescent="0.3">
      <c r="B1" s="19"/>
      <c r="C1" s="19" t="s">
        <v>262</v>
      </c>
      <c r="D1" s="19" t="s">
        <v>263</v>
      </c>
      <c r="E1" s="19" t="s">
        <v>264</v>
      </c>
    </row>
    <row r="2" spans="1:5" x14ac:dyDescent="0.3">
      <c r="A2" t="s">
        <v>225</v>
      </c>
    </row>
    <row r="3" spans="1:5" x14ac:dyDescent="0.3">
      <c r="B3" t="s">
        <v>265</v>
      </c>
      <c r="C3" t="s">
        <v>226</v>
      </c>
    </row>
    <row r="4" spans="1:5" x14ac:dyDescent="0.3">
      <c r="C4" t="s">
        <v>229</v>
      </c>
    </row>
    <row r="5" spans="1:5" x14ac:dyDescent="0.3">
      <c r="C5" t="s">
        <v>230</v>
      </c>
    </row>
    <row r="6" spans="1:5" x14ac:dyDescent="0.3">
      <c r="C6" t="s">
        <v>231</v>
      </c>
    </row>
    <row r="8" spans="1:5" x14ac:dyDescent="0.3">
      <c r="C8" s="49"/>
    </row>
    <row r="9" spans="1:5" ht="15.6" x14ac:dyDescent="0.3">
      <c r="C9" s="75" t="s">
        <v>422</v>
      </c>
      <c r="D9" t="s">
        <v>421</v>
      </c>
    </row>
    <row r="10" spans="1:5" ht="15.6" x14ac:dyDescent="0.3">
      <c r="C10" s="75"/>
    </row>
    <row r="11" spans="1:5" ht="15.6" x14ac:dyDescent="0.3">
      <c r="C11" s="75" t="s">
        <v>420</v>
      </c>
      <c r="D11" t="s">
        <v>419</v>
      </c>
    </row>
    <row r="12" spans="1:5" ht="15.6" x14ac:dyDescent="0.3">
      <c r="C12" s="75"/>
    </row>
    <row r="13" spans="1:5" ht="15.6" x14ac:dyDescent="0.3">
      <c r="C13" s="75" t="s">
        <v>418</v>
      </c>
      <c r="D13" t="s">
        <v>417</v>
      </c>
    </row>
    <row r="14" spans="1:5" ht="15.6" x14ac:dyDescent="0.3">
      <c r="C14" s="75"/>
    </row>
    <row r="15" spans="1:5" ht="15.6" x14ac:dyDescent="0.3">
      <c r="C15" s="75" t="s">
        <v>416</v>
      </c>
      <c r="D15" t="s">
        <v>415</v>
      </c>
    </row>
    <row r="17" spans="3:5" ht="15.6" x14ac:dyDescent="0.3">
      <c r="C17" s="50" t="s">
        <v>414</v>
      </c>
      <c r="D17" t="s">
        <v>413</v>
      </c>
    </row>
    <row r="18" spans="3:5" ht="15.6" x14ac:dyDescent="0.3">
      <c r="C18" s="50"/>
    </row>
    <row r="19" spans="3:5" ht="15.6" x14ac:dyDescent="0.3">
      <c r="C19" s="50" t="s">
        <v>431</v>
      </c>
      <c r="D19" t="s">
        <v>430</v>
      </c>
      <c r="E19" s="74" t="s">
        <v>442</v>
      </c>
    </row>
    <row r="20" spans="3:5" ht="15.6" x14ac:dyDescent="0.3">
      <c r="C20" s="50"/>
    </row>
    <row r="21" spans="3:5" ht="15.6" x14ac:dyDescent="0.3">
      <c r="C21" s="50" t="s">
        <v>433</v>
      </c>
      <c r="D21" t="s">
        <v>432</v>
      </c>
      <c r="E21" s="74" t="s">
        <v>434</v>
      </c>
    </row>
    <row r="22" spans="3:5" ht="15.6" x14ac:dyDescent="0.3">
      <c r="C22" s="50"/>
      <c r="E22" s="74"/>
    </row>
    <row r="23" spans="3:5" ht="15.6" x14ac:dyDescent="0.3">
      <c r="C23" s="96" t="s">
        <v>436</v>
      </c>
      <c r="D23" t="s">
        <v>435</v>
      </c>
      <c r="E23" s="74" t="s">
        <v>437</v>
      </c>
    </row>
    <row r="24" spans="3:5" ht="15.6" x14ac:dyDescent="0.3">
      <c r="C24" s="50"/>
      <c r="E24" s="74"/>
    </row>
    <row r="25" spans="3:5" ht="15.6" x14ac:dyDescent="0.3">
      <c r="C25" s="96" t="s">
        <v>439</v>
      </c>
      <c r="D25" t="s">
        <v>438</v>
      </c>
      <c r="E25" s="74"/>
    </row>
    <row r="26" spans="3:5" ht="15.6" x14ac:dyDescent="0.3">
      <c r="C26" s="96"/>
      <c r="E26" s="74"/>
    </row>
    <row r="27" spans="3:5" ht="15.6" x14ac:dyDescent="0.3">
      <c r="C27" s="96" t="s">
        <v>441</v>
      </c>
      <c r="D27" t="s">
        <v>440</v>
      </c>
      <c r="E27" s="74"/>
    </row>
    <row r="28" spans="3:5" ht="15.6" x14ac:dyDescent="0.3">
      <c r="C28" s="96"/>
    </row>
    <row r="29" spans="3:5" ht="15.6" x14ac:dyDescent="0.3">
      <c r="C29" s="97" t="s">
        <v>444</v>
      </c>
      <c r="D29" t="s">
        <v>443</v>
      </c>
      <c r="E29" t="s">
        <v>405</v>
      </c>
    </row>
    <row r="30" spans="3:5" ht="15.6" x14ac:dyDescent="0.3">
      <c r="C30" s="96"/>
    </row>
    <row r="31" spans="3:5" ht="18" x14ac:dyDescent="0.35">
      <c r="C31" s="100" t="s">
        <v>454</v>
      </c>
      <c r="D31" t="s">
        <v>445</v>
      </c>
      <c r="E31" t="s">
        <v>446</v>
      </c>
    </row>
    <row r="32" spans="3:5" ht="18" x14ac:dyDescent="0.35">
      <c r="C32" s="100"/>
    </row>
    <row r="33" spans="2:5" ht="15.6" x14ac:dyDescent="0.3">
      <c r="C33" s="50" t="s">
        <v>456</v>
      </c>
      <c r="D33" t="s">
        <v>455</v>
      </c>
      <c r="E33" t="s">
        <v>434</v>
      </c>
    </row>
    <row r="34" spans="2:5" ht="18" x14ac:dyDescent="0.35">
      <c r="C34" s="100"/>
    </row>
    <row r="35" spans="2:5" ht="18" x14ac:dyDescent="0.35">
      <c r="C35" s="100"/>
    </row>
    <row r="36" spans="2:5" ht="18" x14ac:dyDescent="0.35">
      <c r="C36" s="100" t="s">
        <v>467</v>
      </c>
      <c r="D36" t="s">
        <v>466</v>
      </c>
      <c r="E36" t="s">
        <v>404</v>
      </c>
    </row>
    <row r="37" spans="2:5" ht="15.6" x14ac:dyDescent="0.3">
      <c r="C37" s="96"/>
    </row>
    <row r="38" spans="2:5" ht="18" x14ac:dyDescent="0.35">
      <c r="C38" s="100" t="s">
        <v>469</v>
      </c>
      <c r="D38" t="s">
        <v>447</v>
      </c>
      <c r="E38" t="s">
        <v>448</v>
      </c>
    </row>
    <row r="39" spans="2:5" ht="15.6" x14ac:dyDescent="0.3">
      <c r="C39" s="50"/>
    </row>
    <row r="40" spans="2:5" ht="15.6" x14ac:dyDescent="0.3">
      <c r="C40" s="97" t="s">
        <v>450</v>
      </c>
      <c r="D40" t="s">
        <v>449</v>
      </c>
      <c r="E40" t="s">
        <v>475</v>
      </c>
    </row>
    <row r="41" spans="2:5" x14ac:dyDescent="0.3">
      <c r="C41" s="98"/>
    </row>
    <row r="42" spans="2:5" ht="15.6" x14ac:dyDescent="0.3">
      <c r="C42" s="97" t="s">
        <v>468</v>
      </c>
      <c r="D42" t="s">
        <v>451</v>
      </c>
      <c r="E42" t="s">
        <v>452</v>
      </c>
    </row>
    <row r="43" spans="2:5" x14ac:dyDescent="0.3">
      <c r="C43" s="98"/>
    </row>
    <row r="44" spans="2:5" ht="15.6" x14ac:dyDescent="0.3">
      <c r="C44" s="50" t="s">
        <v>477</v>
      </c>
      <c r="D44" t="s">
        <v>474</v>
      </c>
      <c r="E44" t="s">
        <v>476</v>
      </c>
    </row>
    <row r="45" spans="2:5" ht="15.6" x14ac:dyDescent="0.3">
      <c r="C45" s="50"/>
    </row>
    <row r="46" spans="2:5" ht="15.6" x14ac:dyDescent="0.3">
      <c r="C46" s="50"/>
    </row>
    <row r="48" spans="2:5" ht="15.6" x14ac:dyDescent="0.3">
      <c r="B48">
        <v>1</v>
      </c>
      <c r="C48" s="74"/>
      <c r="D48" t="s">
        <v>236</v>
      </c>
    </row>
    <row r="49" spans="2:4" ht="15.6" x14ac:dyDescent="0.3">
      <c r="C49" s="74"/>
    </row>
    <row r="50" spans="2:4" ht="15.6" x14ac:dyDescent="0.3">
      <c r="B50">
        <v>2</v>
      </c>
      <c r="C50" s="50" t="s">
        <v>233</v>
      </c>
      <c r="D50" t="s">
        <v>232</v>
      </c>
    </row>
    <row r="51" spans="2:4" ht="15.6" x14ac:dyDescent="0.3">
      <c r="C51" s="74"/>
    </row>
    <row r="52" spans="2:4" ht="15.6" x14ac:dyDescent="0.3">
      <c r="B52">
        <v>3</v>
      </c>
      <c r="C52" s="74" t="s">
        <v>235</v>
      </c>
      <c r="D52" t="s">
        <v>234</v>
      </c>
    </row>
    <row r="53" spans="2:4" ht="15.6" x14ac:dyDescent="0.3">
      <c r="C53" s="74"/>
    </row>
    <row r="54" spans="2:4" ht="15.6" x14ac:dyDescent="0.3">
      <c r="B54">
        <v>4</v>
      </c>
      <c r="C54" s="74" t="s">
        <v>237</v>
      </c>
      <c r="D54" t="s">
        <v>236</v>
      </c>
    </row>
    <row r="55" spans="2:4" ht="15.6" x14ac:dyDescent="0.3">
      <c r="C55" s="74"/>
    </row>
    <row r="56" spans="2:4" ht="15.6" x14ac:dyDescent="0.3">
      <c r="B56">
        <v>5</v>
      </c>
      <c r="C56" s="74" t="s">
        <v>239</v>
      </c>
      <c r="D56" t="s">
        <v>238</v>
      </c>
    </row>
    <row r="57" spans="2:4" ht="15.6" x14ac:dyDescent="0.3">
      <c r="C57" s="74"/>
    </row>
    <row r="58" spans="2:4" ht="15.6" x14ac:dyDescent="0.3">
      <c r="B58">
        <v>6</v>
      </c>
      <c r="C58" s="74" t="s">
        <v>239</v>
      </c>
      <c r="D58" t="s">
        <v>240</v>
      </c>
    </row>
    <row r="59" spans="2:4" ht="15.6" x14ac:dyDescent="0.3">
      <c r="C59" s="74"/>
    </row>
    <row r="60" spans="2:4" ht="15.6" x14ac:dyDescent="0.3">
      <c r="B60">
        <v>7</v>
      </c>
      <c r="C60" s="74" t="s">
        <v>242</v>
      </c>
      <c r="D60" t="s">
        <v>241</v>
      </c>
    </row>
    <row r="61" spans="2:4" ht="15.6" x14ac:dyDescent="0.3">
      <c r="C61" s="74"/>
    </row>
    <row r="62" spans="2:4" ht="15.6" x14ac:dyDescent="0.3">
      <c r="B62">
        <v>8</v>
      </c>
      <c r="C62" s="74" t="s">
        <v>239</v>
      </c>
      <c r="D62" t="s">
        <v>243</v>
      </c>
    </row>
    <row r="63" spans="2:4" ht="15.6" x14ac:dyDescent="0.3">
      <c r="C63" s="74"/>
    </row>
    <row r="64" spans="2:4" ht="15.6" x14ac:dyDescent="0.3">
      <c r="B64">
        <v>9</v>
      </c>
      <c r="C64" s="74" t="s">
        <v>239</v>
      </c>
      <c r="D64" t="s">
        <v>244</v>
      </c>
    </row>
    <row r="65" spans="2:5" ht="15.6" x14ac:dyDescent="0.3">
      <c r="C65" s="74"/>
    </row>
    <row r="66" spans="2:5" ht="15.6" x14ac:dyDescent="0.3">
      <c r="B66">
        <v>10</v>
      </c>
      <c r="C66" s="74" t="s">
        <v>246</v>
      </c>
      <c r="D66" t="s">
        <v>245</v>
      </c>
    </row>
    <row r="67" spans="2:5" ht="15.6" x14ac:dyDescent="0.3">
      <c r="C67" s="74"/>
    </row>
    <row r="68" spans="2:5" ht="15.6" x14ac:dyDescent="0.3">
      <c r="B68">
        <v>11</v>
      </c>
      <c r="C68" s="74" t="s">
        <v>248</v>
      </c>
      <c r="D68" t="s">
        <v>247</v>
      </c>
    </row>
    <row r="69" spans="2:5" ht="15.6" x14ac:dyDescent="0.3">
      <c r="C69" s="74"/>
    </row>
    <row r="70" spans="2:5" ht="15.6" x14ac:dyDescent="0.3">
      <c r="B70">
        <v>12</v>
      </c>
      <c r="C70" s="74" t="s">
        <v>250</v>
      </c>
      <c r="D70" t="s">
        <v>249</v>
      </c>
    </row>
    <row r="71" spans="2:5" ht="15.6" x14ac:dyDescent="0.3">
      <c r="C71" s="74"/>
    </row>
    <row r="72" spans="2:5" ht="15.6" x14ac:dyDescent="0.3">
      <c r="B72">
        <v>13</v>
      </c>
      <c r="C72" s="74" t="s">
        <v>252</v>
      </c>
      <c r="D72" t="s">
        <v>251</v>
      </c>
    </row>
    <row r="73" spans="2:5" ht="15.6" x14ac:dyDescent="0.3">
      <c r="C73" s="74"/>
    </row>
    <row r="74" spans="2:5" ht="15.6" x14ac:dyDescent="0.3">
      <c r="B74">
        <v>14</v>
      </c>
      <c r="C74" s="74" t="s">
        <v>254</v>
      </c>
      <c r="D74" t="s">
        <v>253</v>
      </c>
    </row>
    <row r="75" spans="2:5" ht="15.6" x14ac:dyDescent="0.3">
      <c r="C75" s="74"/>
    </row>
    <row r="76" spans="2:5" ht="15.6" x14ac:dyDescent="0.3">
      <c r="B76">
        <v>15</v>
      </c>
      <c r="C76" s="74" t="s">
        <v>258</v>
      </c>
      <c r="D76" t="s">
        <v>255</v>
      </c>
    </row>
    <row r="77" spans="2:5" ht="15.6" x14ac:dyDescent="0.3">
      <c r="C77" s="74"/>
    </row>
    <row r="78" spans="2:5" ht="15.6" x14ac:dyDescent="0.3">
      <c r="B78">
        <v>16</v>
      </c>
      <c r="C78" s="74" t="s">
        <v>257</v>
      </c>
      <c r="D78" t="s">
        <v>256</v>
      </c>
    </row>
    <row r="79" spans="2:5" ht="15.6" x14ac:dyDescent="0.3">
      <c r="C79" s="74"/>
    </row>
    <row r="80" spans="2:5" ht="15.6" x14ac:dyDescent="0.3">
      <c r="B80">
        <v>17</v>
      </c>
      <c r="C80" s="74" t="s">
        <v>283</v>
      </c>
      <c r="D80" t="s">
        <v>282</v>
      </c>
      <c r="E80" t="s">
        <v>284</v>
      </c>
    </row>
    <row r="81" spans="2:5" ht="15.6" x14ac:dyDescent="0.3">
      <c r="C81" s="74"/>
    </row>
    <row r="82" spans="2:5" ht="15.6" x14ac:dyDescent="0.3">
      <c r="B82">
        <v>18</v>
      </c>
      <c r="C82" s="50" t="s">
        <v>287</v>
      </c>
      <c r="D82" t="s">
        <v>285</v>
      </c>
      <c r="E82" t="s">
        <v>286</v>
      </c>
    </row>
    <row r="83" spans="2:5" ht="15.6" x14ac:dyDescent="0.3">
      <c r="C83" s="74"/>
    </row>
    <row r="84" spans="2:5" ht="15.6" x14ac:dyDescent="0.3">
      <c r="B84">
        <v>19</v>
      </c>
      <c r="C84" s="75" t="s">
        <v>260</v>
      </c>
      <c r="D84" t="s">
        <v>259</v>
      </c>
      <c r="E84" t="s">
        <v>261</v>
      </c>
    </row>
    <row r="85" spans="2:5" ht="15.6" x14ac:dyDescent="0.3">
      <c r="C85" s="74"/>
    </row>
    <row r="86" spans="2:5" ht="15.6" x14ac:dyDescent="0.3">
      <c r="B86">
        <v>20</v>
      </c>
      <c r="C86" s="75" t="s">
        <v>271</v>
      </c>
      <c r="D86" t="s">
        <v>269</v>
      </c>
      <c r="E86" t="s">
        <v>270</v>
      </c>
    </row>
    <row r="87" spans="2:5" ht="15.6" x14ac:dyDescent="0.3">
      <c r="C87" s="74"/>
    </row>
    <row r="88" spans="2:5" ht="15.6" x14ac:dyDescent="0.3">
      <c r="B88">
        <v>21</v>
      </c>
      <c r="C88" s="75" t="s">
        <v>273</v>
      </c>
      <c r="D88" t="s">
        <v>272</v>
      </c>
      <c r="E88" t="s">
        <v>270</v>
      </c>
    </row>
    <row r="89" spans="2:5" ht="15.6" x14ac:dyDescent="0.3">
      <c r="C89" s="74"/>
    </row>
    <row r="90" spans="2:5" ht="15.6" x14ac:dyDescent="0.3">
      <c r="B90">
        <v>22</v>
      </c>
      <c r="C90" s="74" t="s">
        <v>280</v>
      </c>
      <c r="D90" t="s">
        <v>274</v>
      </c>
      <c r="E90" t="s">
        <v>275</v>
      </c>
    </row>
    <row r="91" spans="2:5" ht="15.6" x14ac:dyDescent="0.3">
      <c r="C91" s="74"/>
    </row>
    <row r="92" spans="2:5" ht="15.6" x14ac:dyDescent="0.3">
      <c r="B92">
        <v>23</v>
      </c>
      <c r="C92" s="75" t="s">
        <v>277</v>
      </c>
      <c r="D92" t="s">
        <v>276</v>
      </c>
      <c r="E92" t="s">
        <v>281</v>
      </c>
    </row>
    <row r="93" spans="2:5" ht="15.6" x14ac:dyDescent="0.3">
      <c r="C93" s="74"/>
    </row>
    <row r="94" spans="2:5" ht="15.6" x14ac:dyDescent="0.3">
      <c r="B94">
        <v>24</v>
      </c>
      <c r="C94" s="74" t="s">
        <v>279</v>
      </c>
      <c r="D94" t="s">
        <v>278</v>
      </c>
      <c r="E94" t="s">
        <v>281</v>
      </c>
    </row>
    <row r="95" spans="2:5" ht="15.6" x14ac:dyDescent="0.3">
      <c r="C95" s="74"/>
    </row>
    <row r="96" spans="2:5" ht="15.6" x14ac:dyDescent="0.3">
      <c r="B96">
        <v>25</v>
      </c>
      <c r="C96" s="50" t="s">
        <v>289</v>
      </c>
      <c r="D96" t="s">
        <v>288</v>
      </c>
    </row>
    <row r="97" spans="2:5" ht="15.6" x14ac:dyDescent="0.3">
      <c r="C97" s="74"/>
    </row>
    <row r="98" spans="2:5" ht="15.6" x14ac:dyDescent="0.3">
      <c r="B98">
        <v>26</v>
      </c>
      <c r="C98" s="50" t="s">
        <v>291</v>
      </c>
      <c r="D98" t="s">
        <v>290</v>
      </c>
      <c r="E98" t="s">
        <v>292</v>
      </c>
    </row>
    <row r="99" spans="2:5" ht="15.6" x14ac:dyDescent="0.3">
      <c r="C99" s="74" t="s">
        <v>294</v>
      </c>
      <c r="D99" t="s">
        <v>293</v>
      </c>
    </row>
    <row r="100" spans="2:5" ht="15.6" x14ac:dyDescent="0.3">
      <c r="B100">
        <v>27</v>
      </c>
      <c r="C100" s="75" t="s">
        <v>374</v>
      </c>
      <c r="D100" t="s">
        <v>319</v>
      </c>
      <c r="E100" t="s">
        <v>320</v>
      </c>
    </row>
    <row r="101" spans="2:5" ht="15.6" x14ac:dyDescent="0.3">
      <c r="C101" s="74"/>
    </row>
    <row r="102" spans="2:5" ht="15.6" x14ac:dyDescent="0.3">
      <c r="B102">
        <v>28</v>
      </c>
      <c r="C102" s="75" t="s">
        <v>325</v>
      </c>
      <c r="D102" t="s">
        <v>321</v>
      </c>
      <c r="E102" t="s">
        <v>322</v>
      </c>
    </row>
    <row r="103" spans="2:5" ht="15.6" x14ac:dyDescent="0.3">
      <c r="C103" s="74"/>
    </row>
    <row r="104" spans="2:5" ht="15.6" x14ac:dyDescent="0.3">
      <c r="B104">
        <v>29</v>
      </c>
      <c r="C104" s="75" t="s">
        <v>372</v>
      </c>
      <c r="D104" t="s">
        <v>323</v>
      </c>
      <c r="E104" t="s">
        <v>324</v>
      </c>
    </row>
    <row r="106" spans="2:5" ht="18" x14ac:dyDescent="0.35">
      <c r="B106">
        <v>30</v>
      </c>
      <c r="C106" s="83" t="s">
        <v>329</v>
      </c>
      <c r="D106" t="s">
        <v>326</v>
      </c>
      <c r="E106" t="s">
        <v>330</v>
      </c>
    </row>
    <row r="108" spans="2:5" ht="18" x14ac:dyDescent="0.35">
      <c r="B108">
        <v>31</v>
      </c>
      <c r="C108" s="83" t="s">
        <v>373</v>
      </c>
      <c r="D108" t="s">
        <v>327</v>
      </c>
      <c r="E108" t="s">
        <v>328</v>
      </c>
    </row>
    <row r="110" spans="2:5" x14ac:dyDescent="0.3">
      <c r="C110" t="s">
        <v>376</v>
      </c>
      <c r="D110" t="s">
        <v>375</v>
      </c>
    </row>
    <row r="112" spans="2:5" x14ac:dyDescent="0.3">
      <c r="C112" t="s">
        <v>380</v>
      </c>
      <c r="D112" t="s">
        <v>379</v>
      </c>
      <c r="E112" t="s">
        <v>381</v>
      </c>
    </row>
    <row r="114" spans="3:5" x14ac:dyDescent="0.3">
      <c r="C114" t="s">
        <v>380</v>
      </c>
      <c r="D114" t="s">
        <v>382</v>
      </c>
      <c r="E114" t="s">
        <v>383</v>
      </c>
    </row>
    <row r="116" spans="3:5" x14ac:dyDescent="0.3">
      <c r="C116" t="s">
        <v>385</v>
      </c>
      <c r="D116" t="s">
        <v>384</v>
      </c>
      <c r="E116" t="s">
        <v>386</v>
      </c>
    </row>
    <row r="120" spans="3:5" x14ac:dyDescent="0.3">
      <c r="C120" t="s">
        <v>388</v>
      </c>
      <c r="D120" t="s">
        <v>387</v>
      </c>
    </row>
    <row r="122" spans="3:5" x14ac:dyDescent="0.3">
      <c r="C122" t="s">
        <v>390</v>
      </c>
      <c r="D122" t="s">
        <v>389</v>
      </c>
      <c r="E122" t="s">
        <v>391</v>
      </c>
    </row>
    <row r="124" spans="3:5" x14ac:dyDescent="0.3">
      <c r="C124" t="s">
        <v>392</v>
      </c>
      <c r="D124" t="s">
        <v>276</v>
      </c>
      <c r="E124" t="s">
        <v>281</v>
      </c>
    </row>
    <row r="126" spans="3:5" x14ac:dyDescent="0.3">
      <c r="C126" t="s">
        <v>394</v>
      </c>
      <c r="D126" t="s">
        <v>393</v>
      </c>
      <c r="E126" t="s">
        <v>395</v>
      </c>
    </row>
    <row r="128" spans="3:5" x14ac:dyDescent="0.3">
      <c r="C128" t="s">
        <v>397</v>
      </c>
      <c r="D128" t="s">
        <v>396</v>
      </c>
      <c r="E128" t="s">
        <v>398</v>
      </c>
    </row>
    <row r="130" spans="3:5" x14ac:dyDescent="0.3">
      <c r="C130" t="s">
        <v>400</v>
      </c>
      <c r="D130" t="s">
        <v>399</v>
      </c>
    </row>
    <row r="132" spans="3:5" ht="15.6" x14ac:dyDescent="0.3">
      <c r="C132" s="50" t="s">
        <v>402</v>
      </c>
      <c r="D132" t="s">
        <v>401</v>
      </c>
      <c r="E132" t="s">
        <v>404</v>
      </c>
    </row>
    <row r="134" spans="3:5" x14ac:dyDescent="0.3">
      <c r="C134" t="s">
        <v>406</v>
      </c>
      <c r="D134" s="39" t="s">
        <v>403</v>
      </c>
      <c r="E134" t="s">
        <v>405</v>
      </c>
    </row>
    <row r="136" spans="3:5" x14ac:dyDescent="0.3">
      <c r="C136" t="s">
        <v>408</v>
      </c>
      <c r="D136" t="s">
        <v>407</v>
      </c>
      <c r="E136" t="s">
        <v>395</v>
      </c>
    </row>
    <row r="138" spans="3:5" x14ac:dyDescent="0.3">
      <c r="C138" s="49" t="s">
        <v>410</v>
      </c>
      <c r="D138" s="39" t="s">
        <v>409</v>
      </c>
    </row>
    <row r="140" spans="3:5" x14ac:dyDescent="0.3">
      <c r="C140" t="s">
        <v>376</v>
      </c>
      <c r="D140" t="s">
        <v>411</v>
      </c>
    </row>
    <row r="142" spans="3:5" x14ac:dyDescent="0.3">
      <c r="C142" t="s">
        <v>453</v>
      </c>
      <c r="D142" t="s">
        <v>412</v>
      </c>
    </row>
  </sheetData>
  <hyperlinks>
    <hyperlink ref="D134" r:id="rId1"/>
    <hyperlink ref="D138" r:id="rId2"/>
  </hyperlinks>
  <pageMargins left="0.7" right="0.7" top="0.75" bottom="0.75" header="0.3" footer="0.3"/>
  <pageSetup orientation="portrait" horizontalDpi="4294967293" verticalDpi="4294967293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32" workbookViewId="0">
      <selection activeCell="G46" sqref="G46"/>
    </sheetView>
  </sheetViews>
  <sheetFormatPr defaultRowHeight="14.4" x14ac:dyDescent="0.3"/>
  <cols>
    <col min="1" max="1" width="13.6640625" customWidth="1"/>
    <col min="2" max="2" width="12.33203125" customWidth="1"/>
    <col min="3" max="3" width="12.21875" customWidth="1"/>
    <col min="4" max="4" width="16.5546875" customWidth="1"/>
  </cols>
  <sheetData>
    <row r="1" spans="1:4" x14ac:dyDescent="0.3">
      <c r="A1" s="15" t="s">
        <v>464</v>
      </c>
      <c r="B1" s="15" t="s">
        <v>170</v>
      </c>
      <c r="C1" s="15" t="s">
        <v>463</v>
      </c>
      <c r="D1" s="15" t="s">
        <v>465</v>
      </c>
    </row>
    <row r="2" spans="1:4" x14ac:dyDescent="0.3">
      <c r="A2" s="2" t="s">
        <v>457</v>
      </c>
      <c r="B2">
        <f>-0.515/0.208</f>
        <v>-2.4759615384615388</v>
      </c>
      <c r="C2">
        <f>0.51/0.413</f>
        <v>1.2348668280871671</v>
      </c>
    </row>
    <row r="3" spans="1:4" x14ac:dyDescent="0.3">
      <c r="A3" s="2" t="s">
        <v>461</v>
      </c>
      <c r="B3">
        <f>-0.432/0.208</f>
        <v>-2.0769230769230771</v>
      </c>
      <c r="C3">
        <f>0.477/0.413</f>
        <v>1.1549636803874093</v>
      </c>
    </row>
    <row r="4" spans="1:4" x14ac:dyDescent="0.3">
      <c r="A4" s="2" t="s">
        <v>462</v>
      </c>
      <c r="B4">
        <f>-0.251/0.208</f>
        <v>-1.2067307692307694</v>
      </c>
      <c r="C4">
        <f>0.935/0.413</f>
        <v>2.2639225181598066</v>
      </c>
    </row>
    <row r="5" spans="1:4" x14ac:dyDescent="0.3">
      <c r="A5" s="2" t="s">
        <v>458</v>
      </c>
      <c r="B5">
        <f>-0.135/0.208</f>
        <v>-0.64903846153846156</v>
      </c>
      <c r="C5">
        <f>0.358/0.413</f>
        <v>0.86682808716707027</v>
      </c>
    </row>
    <row r="6" spans="1:4" x14ac:dyDescent="0.3">
      <c r="A6" s="2" t="s">
        <v>459</v>
      </c>
      <c r="B6">
        <f>-0.966/0.208</f>
        <v>-4.6442307692307692</v>
      </c>
      <c r="C6">
        <f>4.957/0.413</f>
        <v>12.002421307506054</v>
      </c>
    </row>
    <row r="7" spans="1:4" x14ac:dyDescent="0.3">
      <c r="A7" s="2" t="s">
        <v>460</v>
      </c>
      <c r="B7">
        <f>-0.266/0.208</f>
        <v>-1.278846153846154</v>
      </c>
      <c r="C7">
        <f>0.795/0.413</f>
        <v>1.9249394673123488</v>
      </c>
    </row>
    <row r="11" spans="1:4" ht="18" x14ac:dyDescent="0.35">
      <c r="A11" s="107" t="s">
        <v>470</v>
      </c>
      <c r="B11" s="107"/>
      <c r="C11" s="107"/>
    </row>
    <row r="12" spans="1:4" x14ac:dyDescent="0.3">
      <c r="A12" s="101" t="s">
        <v>471</v>
      </c>
      <c r="B12" s="101" t="s">
        <v>473</v>
      </c>
      <c r="C12" s="101" t="s">
        <v>472</v>
      </c>
    </row>
    <row r="13" spans="1:4" x14ac:dyDescent="0.3">
      <c r="A13" t="s">
        <v>461</v>
      </c>
      <c r="B13">
        <v>2.2589999999999999</v>
      </c>
      <c r="C13">
        <f>EXP(B13)</f>
        <v>9.5735108675454139</v>
      </c>
    </row>
    <row r="14" spans="1:4" x14ac:dyDescent="0.3">
      <c r="A14" t="s">
        <v>462</v>
      </c>
      <c r="B14">
        <v>0.502</v>
      </c>
      <c r="C14">
        <f t="shared" ref="C14:C17" si="0">EXP(B14)</f>
        <v>1.6520220128834644</v>
      </c>
    </row>
    <row r="15" spans="1:4" x14ac:dyDescent="0.3">
      <c r="A15" t="s">
        <v>458</v>
      </c>
      <c r="B15">
        <v>0.46</v>
      </c>
      <c r="C15">
        <f t="shared" si="0"/>
        <v>1.5840739849944818</v>
      </c>
    </row>
    <row r="16" spans="1:4" x14ac:dyDescent="0.3">
      <c r="A16" t="s">
        <v>459</v>
      </c>
      <c r="B16">
        <v>0.751</v>
      </c>
      <c r="C16">
        <f t="shared" si="0"/>
        <v>2.1191180754822172</v>
      </c>
    </row>
    <row r="17" spans="1:7" x14ac:dyDescent="0.3">
      <c r="A17" t="s">
        <v>460</v>
      </c>
      <c r="B17">
        <v>0.115</v>
      </c>
      <c r="C17">
        <f t="shared" si="0"/>
        <v>1.1218734375719384</v>
      </c>
    </row>
    <row r="20" spans="1:7" x14ac:dyDescent="0.3">
      <c r="A20" t="s">
        <v>478</v>
      </c>
    </row>
    <row r="22" spans="1:7" ht="15.6" x14ac:dyDescent="0.3">
      <c r="A22" s="108" t="s">
        <v>485</v>
      </c>
      <c r="B22" s="108"/>
      <c r="C22" s="108"/>
    </row>
    <row r="23" spans="1:7" ht="15.6" x14ac:dyDescent="0.3">
      <c r="A23" s="102" t="s">
        <v>484</v>
      </c>
      <c r="B23" s="102" t="s">
        <v>479</v>
      </c>
      <c r="C23" s="102" t="s">
        <v>480</v>
      </c>
    </row>
    <row r="24" spans="1:7" x14ac:dyDescent="0.3">
      <c r="A24" t="s">
        <v>482</v>
      </c>
      <c r="B24">
        <v>2.234</v>
      </c>
      <c r="C24" s="103">
        <f>EXP(B24)</f>
        <v>9.3371400420280057</v>
      </c>
      <c r="E24">
        <f>1/C24</f>
        <v>0.10709917549686898</v>
      </c>
      <c r="F24" s="103">
        <f>C24/(1+C24)</f>
        <v>0.90326144408083164</v>
      </c>
    </row>
    <row r="25" spans="1:7" x14ac:dyDescent="0.3">
      <c r="A25" t="s">
        <v>481</v>
      </c>
      <c r="B25">
        <v>0.84699999999999998</v>
      </c>
      <c r="C25" s="103">
        <f>EXP(B25)</f>
        <v>2.3326384292605273</v>
      </c>
      <c r="E25">
        <f t="shared" ref="E25:E26" si="1">1/C25</f>
        <v>0.42869910203657718</v>
      </c>
      <c r="F25" s="103">
        <f>C25/(1+C25)</f>
        <v>0.6999374455926537</v>
      </c>
    </row>
    <row r="26" spans="1:7" x14ac:dyDescent="0.3">
      <c r="A26" t="s">
        <v>483</v>
      </c>
      <c r="B26" s="4">
        <f>-(B24+B25)</f>
        <v>-3.081</v>
      </c>
      <c r="C26" s="105">
        <f>EXP(B26)</f>
        <v>4.5913320364365531E-2</v>
      </c>
      <c r="E26">
        <f t="shared" si="1"/>
        <v>21.780171681421777</v>
      </c>
      <c r="F26" s="103">
        <f>C26/(1+C26)</f>
        <v>4.3897825441567832E-2</v>
      </c>
    </row>
    <row r="28" spans="1:7" ht="15.6" x14ac:dyDescent="0.3">
      <c r="A28" s="108" t="s">
        <v>486</v>
      </c>
      <c r="B28" s="108"/>
      <c r="C28" s="108"/>
    </row>
    <row r="29" spans="1:7" ht="15.6" x14ac:dyDescent="0.3">
      <c r="A29" s="102" t="s">
        <v>484</v>
      </c>
      <c r="B29" s="102" t="s">
        <v>479</v>
      </c>
      <c r="C29" s="102" t="s">
        <v>480</v>
      </c>
    </row>
    <row r="30" spans="1:7" x14ac:dyDescent="0.3">
      <c r="A30" t="s">
        <v>482</v>
      </c>
      <c r="B30">
        <v>2.3330000000000002</v>
      </c>
      <c r="C30" s="104">
        <f>EXP(B30)</f>
        <v>10.308821654664925</v>
      </c>
      <c r="E30">
        <f t="shared" ref="E30:E32" si="2">1/C30</f>
        <v>9.7004297241623363E-2</v>
      </c>
      <c r="F30" s="103">
        <f>C30/(1+C30)</f>
        <v>0.91157345738249429</v>
      </c>
      <c r="G30">
        <f>1-0.91</f>
        <v>8.9999999999999969E-2</v>
      </c>
    </row>
    <row r="31" spans="1:7" x14ac:dyDescent="0.3">
      <c r="A31" t="s">
        <v>481</v>
      </c>
      <c r="B31">
        <v>1.3129999999999999</v>
      </c>
      <c r="C31" s="104">
        <f>EXP(B31)</f>
        <v>3.7173089278188316</v>
      </c>
      <c r="E31">
        <f t="shared" si="2"/>
        <v>0.26901180919250639</v>
      </c>
      <c r="F31" s="103">
        <f t="shared" ref="F31:F32" si="3">C31/(1+C31)</f>
        <v>0.78801473142816292</v>
      </c>
      <c r="G31">
        <f>1-0.79</f>
        <v>0.20999999999999996</v>
      </c>
    </row>
    <row r="32" spans="1:7" x14ac:dyDescent="0.3">
      <c r="A32" t="s">
        <v>483</v>
      </c>
      <c r="B32" s="4">
        <f>-(B30+B31)</f>
        <v>-3.6459999999999999</v>
      </c>
      <c r="C32" s="105">
        <f>EXP(B32)</f>
        <v>2.6095301500416765E-2</v>
      </c>
      <c r="E32">
        <f t="shared" si="2"/>
        <v>38.321074772178015</v>
      </c>
      <c r="F32" s="103">
        <f t="shared" si="3"/>
        <v>2.5431654800737009E-2</v>
      </c>
    </row>
    <row r="36" spans="1:7" ht="15.6" x14ac:dyDescent="0.3">
      <c r="A36" s="108" t="s">
        <v>487</v>
      </c>
      <c r="B36" s="108"/>
      <c r="C36" s="108"/>
    </row>
    <row r="37" spans="1:7" ht="15.6" x14ac:dyDescent="0.3">
      <c r="A37" s="102" t="s">
        <v>484</v>
      </c>
      <c r="B37" s="102" t="s">
        <v>479</v>
      </c>
      <c r="C37" s="102" t="s">
        <v>480</v>
      </c>
    </row>
    <row r="38" spans="1:7" x14ac:dyDescent="0.3">
      <c r="A38" t="s">
        <v>482</v>
      </c>
      <c r="B38">
        <v>2.234</v>
      </c>
      <c r="C38">
        <v>9.3330000000000002</v>
      </c>
      <c r="E38">
        <f t="shared" ref="E38:E40" si="4">1/C38</f>
        <v>0.10714668381013608</v>
      </c>
      <c r="F38" s="103">
        <f t="shared" ref="F38:F40" si="5">C38/(1+C38)</f>
        <v>0.90322268460272914</v>
      </c>
    </row>
    <row r="39" spans="1:7" x14ac:dyDescent="0.3">
      <c r="A39" t="s">
        <v>481</v>
      </c>
      <c r="B39">
        <v>0.84699999999999998</v>
      </c>
      <c r="C39">
        <v>2.3330000000000002</v>
      </c>
      <c r="E39">
        <f t="shared" si="4"/>
        <v>0.42863266180882981</v>
      </c>
      <c r="F39" s="103">
        <f t="shared" si="5"/>
        <v>0.69996999699969997</v>
      </c>
    </row>
    <row r="40" spans="1:7" x14ac:dyDescent="0.3">
      <c r="A40" t="s">
        <v>483</v>
      </c>
      <c r="B40" s="4">
        <f>-(B38+B39)</f>
        <v>-3.081</v>
      </c>
      <c r="C40" s="105">
        <f>EXP(B40)</f>
        <v>4.5913320364365531E-2</v>
      </c>
      <c r="E40">
        <f t="shared" si="4"/>
        <v>21.780171681421777</v>
      </c>
      <c r="F40" s="103">
        <f t="shared" si="5"/>
        <v>4.3897825441567832E-2</v>
      </c>
    </row>
    <row r="42" spans="1:7" ht="15.6" x14ac:dyDescent="0.3">
      <c r="A42" s="108" t="s">
        <v>486</v>
      </c>
      <c r="B42" s="108"/>
      <c r="C42" s="108"/>
    </row>
    <row r="43" spans="1:7" ht="15.6" x14ac:dyDescent="0.3">
      <c r="A43" s="102" t="s">
        <v>484</v>
      </c>
      <c r="B43" s="102" t="s">
        <v>479</v>
      </c>
      <c r="C43" s="102" t="s">
        <v>480</v>
      </c>
    </row>
    <row r="44" spans="1:7" x14ac:dyDescent="0.3">
      <c r="A44" t="s">
        <v>482</v>
      </c>
      <c r="B44">
        <v>-1.3859999999999999</v>
      </c>
      <c r="C44" s="104">
        <f>EXP(B44)</f>
        <v>0.25007360111209415</v>
      </c>
      <c r="E44" s="104">
        <f>1/C44</f>
        <v>3.9988227288003717</v>
      </c>
      <c r="F44" s="103">
        <f>C44/(1+C44)</f>
        <v>0.20004710193833622</v>
      </c>
    </row>
    <row r="45" spans="1:7" x14ac:dyDescent="0.3">
      <c r="A45" t="s">
        <v>481</v>
      </c>
      <c r="B45">
        <v>-0.57499999999999996</v>
      </c>
      <c r="C45" s="104">
        <f>EXP(B45)</f>
        <v>0.56270486880695569</v>
      </c>
      <c r="E45" s="104">
        <f t="shared" ref="E45:E46" si="6">1/C45</f>
        <v>1.7771305269140383</v>
      </c>
      <c r="F45" s="103">
        <f>C45/(1+C45)</f>
        <v>0.36008390326226586</v>
      </c>
      <c r="G45" s="104">
        <f>1-F45</f>
        <v>0.6399160967377342</v>
      </c>
    </row>
    <row r="46" spans="1:7" x14ac:dyDescent="0.3">
      <c r="A46" t="s">
        <v>483</v>
      </c>
      <c r="B46" s="4">
        <f>-(B44+B45)</f>
        <v>1.9609999999999999</v>
      </c>
      <c r="C46" s="105">
        <f>EXP(B46)</f>
        <v>7.1064299430688376</v>
      </c>
      <c r="E46" s="104">
        <f t="shared" si="6"/>
        <v>0.14071763290586389</v>
      </c>
      <c r="F46" s="103">
        <f>C46/(1+C46)</f>
        <v>0.87664113462733118</v>
      </c>
      <c r="G46" s="104">
        <f>1-F46</f>
        <v>0.12335886537266882</v>
      </c>
    </row>
  </sheetData>
  <mergeCells count="5">
    <mergeCell ref="A11:C11"/>
    <mergeCell ref="A28:C28"/>
    <mergeCell ref="A36:C36"/>
    <mergeCell ref="A22:C22"/>
    <mergeCell ref="A42:C4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>
      <selection activeCell="I32" sqref="I32"/>
    </sheetView>
  </sheetViews>
  <sheetFormatPr defaultRowHeight="14.4" x14ac:dyDescent="0.3"/>
  <cols>
    <col min="1" max="1" width="4.88671875" customWidth="1"/>
    <col min="2" max="2" width="7.5546875" customWidth="1"/>
    <col min="3" max="8" width="12.33203125" customWidth="1"/>
  </cols>
  <sheetData>
    <row r="1" spans="1:12" s="9" customFormat="1" x14ac:dyDescent="0.3">
      <c r="A1" s="11" t="s">
        <v>142</v>
      </c>
      <c r="B1" s="11" t="s">
        <v>144</v>
      </c>
      <c r="C1" s="15" t="s">
        <v>143</v>
      </c>
      <c r="D1" s="15" t="s">
        <v>143</v>
      </c>
      <c r="E1" s="13" t="s">
        <v>145</v>
      </c>
      <c r="F1" s="13" t="s">
        <v>149</v>
      </c>
      <c r="G1" s="17" t="s">
        <v>146</v>
      </c>
      <c r="H1" s="17" t="s">
        <v>150</v>
      </c>
      <c r="I1" s="11" t="s">
        <v>147</v>
      </c>
      <c r="J1" s="11" t="s">
        <v>152</v>
      </c>
      <c r="K1" s="13" t="s">
        <v>148</v>
      </c>
      <c r="L1" s="13" t="s">
        <v>151</v>
      </c>
    </row>
    <row r="2" spans="1:12" x14ac:dyDescent="0.3">
      <c r="A2" s="12">
        <v>1</v>
      </c>
      <c r="B2" s="12">
        <f t="array" ref="B2:B7">FREQUENCY(Age,A2:A7)</f>
        <v>0</v>
      </c>
      <c r="C2" s="16">
        <v>1</v>
      </c>
      <c r="D2" s="16">
        <f t="array" ref="D2:D3">FREQUENCY(Gend,C2:C3)</f>
        <v>4</v>
      </c>
      <c r="E2" s="14">
        <v>1</v>
      </c>
      <c r="F2" s="14">
        <f t="array" ref="F2:F4">FREQUENCY(Pos,E2:E4)</f>
        <v>36</v>
      </c>
      <c r="G2" s="18">
        <v>1</v>
      </c>
      <c r="H2" s="18">
        <f t="array" ref="H2:H6">FREQUENCY(Exper,G2:G6)</f>
        <v>19</v>
      </c>
      <c r="I2" s="12">
        <v>1</v>
      </c>
      <c r="J2" s="12">
        <f t="array" ref="J2:J5">FREQUENCY(Educ,I2:I5)</f>
        <v>29</v>
      </c>
      <c r="K2" s="14">
        <v>1</v>
      </c>
      <c r="L2" s="14">
        <f t="array" ref="L2:L4">FREQUENCY(Job_Lvl,K2:K4)</f>
        <v>10</v>
      </c>
    </row>
    <row r="3" spans="1:12" x14ac:dyDescent="0.3">
      <c r="A3" s="12">
        <v>2</v>
      </c>
      <c r="B3" s="12">
        <v>24</v>
      </c>
      <c r="C3" s="16">
        <v>2</v>
      </c>
      <c r="D3" s="16">
        <v>132</v>
      </c>
      <c r="E3" s="14">
        <v>2</v>
      </c>
      <c r="F3" s="14">
        <v>79</v>
      </c>
      <c r="G3" s="18">
        <v>2</v>
      </c>
      <c r="H3" s="18">
        <v>46</v>
      </c>
      <c r="I3" s="12">
        <v>2</v>
      </c>
      <c r="J3" s="12">
        <v>70</v>
      </c>
      <c r="K3" s="14">
        <v>2</v>
      </c>
      <c r="L3" s="14">
        <v>101</v>
      </c>
    </row>
    <row r="4" spans="1:12" x14ac:dyDescent="0.3">
      <c r="A4" s="12">
        <v>3</v>
      </c>
      <c r="B4" s="12">
        <v>45</v>
      </c>
      <c r="C4" s="16"/>
      <c r="D4" s="16"/>
      <c r="E4" s="14">
        <v>3</v>
      </c>
      <c r="F4" s="14">
        <v>21</v>
      </c>
      <c r="G4" s="18">
        <v>3</v>
      </c>
      <c r="H4" s="18">
        <v>17</v>
      </c>
      <c r="I4" s="12">
        <v>3</v>
      </c>
      <c r="J4" s="12">
        <v>13</v>
      </c>
      <c r="K4" s="14">
        <v>3</v>
      </c>
      <c r="L4" s="14">
        <v>25</v>
      </c>
    </row>
    <row r="5" spans="1:12" x14ac:dyDescent="0.3">
      <c r="A5" s="12">
        <v>4</v>
      </c>
      <c r="B5" s="12">
        <v>22</v>
      </c>
      <c r="C5" s="16"/>
      <c r="D5" s="16"/>
      <c r="E5" s="14"/>
      <c r="F5" s="14"/>
      <c r="G5" s="18">
        <v>4</v>
      </c>
      <c r="H5" s="18">
        <v>17</v>
      </c>
      <c r="I5" s="12">
        <v>4</v>
      </c>
      <c r="J5" s="12">
        <v>23</v>
      </c>
      <c r="K5" s="14"/>
      <c r="L5" s="14"/>
    </row>
    <row r="6" spans="1:12" x14ac:dyDescent="0.3">
      <c r="A6" s="12">
        <v>5</v>
      </c>
      <c r="B6" s="12">
        <v>35</v>
      </c>
      <c r="C6" s="16"/>
      <c r="D6" s="16"/>
      <c r="E6" s="14"/>
      <c r="F6" s="14"/>
      <c r="G6" s="18">
        <v>5</v>
      </c>
      <c r="H6" s="18">
        <v>37</v>
      </c>
      <c r="I6" s="12"/>
      <c r="J6" s="12"/>
      <c r="K6" s="14"/>
      <c r="L6" s="14"/>
    </row>
    <row r="7" spans="1:12" x14ac:dyDescent="0.3">
      <c r="A7" s="12">
        <v>6</v>
      </c>
      <c r="B7" s="12">
        <v>10</v>
      </c>
    </row>
    <row r="8" spans="1:12" x14ac:dyDescent="0.3">
      <c r="B8" s="12"/>
    </row>
    <row r="9" spans="1:12" x14ac:dyDescent="0.3">
      <c r="I9" s="9"/>
      <c r="K9" s="9"/>
    </row>
    <row r="11" spans="1:12" ht="15.6" x14ac:dyDescent="0.3">
      <c r="A11" s="9" t="s">
        <v>160</v>
      </c>
      <c r="B11" s="19" t="s">
        <v>153</v>
      </c>
      <c r="C11" s="19" t="s">
        <v>154</v>
      </c>
      <c r="D11" s="19" t="s">
        <v>155</v>
      </c>
      <c r="E11" s="19" t="s">
        <v>156</v>
      </c>
      <c r="F11" s="19" t="s">
        <v>157</v>
      </c>
      <c r="G11" s="19" t="s">
        <v>158</v>
      </c>
      <c r="H11" s="20"/>
      <c r="I11" s="20"/>
      <c r="J11" s="20"/>
      <c r="K11" s="20"/>
      <c r="L11" s="20"/>
    </row>
    <row r="12" spans="1:12" x14ac:dyDescent="0.3">
      <c r="A12" s="9" t="s">
        <v>159</v>
      </c>
      <c r="B12" s="9" t="s">
        <v>144</v>
      </c>
      <c r="C12" s="9" t="s">
        <v>144</v>
      </c>
      <c r="D12" s="9" t="s">
        <v>144</v>
      </c>
      <c r="E12" s="9" t="s">
        <v>144</v>
      </c>
      <c r="F12" s="9" t="s">
        <v>144</v>
      </c>
      <c r="G12" s="9" t="s">
        <v>144</v>
      </c>
    </row>
    <row r="13" spans="1:12" x14ac:dyDescent="0.3">
      <c r="A13" s="12">
        <v>1</v>
      </c>
      <c r="B13" s="12">
        <f t="array" ref="B13:B18">FREQUENCY(Satis_1,A13:A18)</f>
        <v>3</v>
      </c>
      <c r="C13" s="12">
        <f t="array" ref="C13:C18">FREQUENCY(Satis_2,A13:A18)</f>
        <v>1</v>
      </c>
      <c r="D13" s="12">
        <f t="array" ref="D13:D18">FREQUENCY(Satis_3,A13:A18)</f>
        <v>1</v>
      </c>
      <c r="E13" s="12">
        <f t="array" ref="E13:E18">FREQUENCY(Satis_4,A13:A18)</f>
        <v>4</v>
      </c>
      <c r="F13" s="12">
        <f t="array" ref="F13:F18">FREQUENCY(Satis_5,A13:A18)</f>
        <v>0</v>
      </c>
      <c r="G13" s="12">
        <f t="array" ref="G13:G18">FREQUENCY(Satis_6,A13:A18)</f>
        <v>5</v>
      </c>
    </row>
    <row r="14" spans="1:12" x14ac:dyDescent="0.3">
      <c r="A14" s="12">
        <v>2</v>
      </c>
      <c r="B14" s="12">
        <v>15</v>
      </c>
      <c r="C14" s="12">
        <v>8</v>
      </c>
      <c r="D14" s="12">
        <v>8</v>
      </c>
      <c r="E14" s="12">
        <v>28</v>
      </c>
      <c r="F14" s="12">
        <v>17</v>
      </c>
      <c r="G14" s="12">
        <v>29</v>
      </c>
    </row>
    <row r="15" spans="1:12" x14ac:dyDescent="0.3">
      <c r="A15" s="12">
        <v>3</v>
      </c>
      <c r="B15" s="12">
        <v>44</v>
      </c>
      <c r="C15" s="12">
        <v>13</v>
      </c>
      <c r="D15" s="12">
        <v>13</v>
      </c>
      <c r="E15" s="12">
        <v>55</v>
      </c>
      <c r="F15" s="12">
        <v>28</v>
      </c>
      <c r="G15" s="12">
        <v>43</v>
      </c>
    </row>
    <row r="16" spans="1:12" x14ac:dyDescent="0.3">
      <c r="A16" s="12">
        <v>4</v>
      </c>
      <c r="B16" s="12">
        <v>49</v>
      </c>
      <c r="C16" s="12">
        <v>58</v>
      </c>
      <c r="D16" s="12">
        <v>58</v>
      </c>
      <c r="E16" s="12">
        <v>37</v>
      </c>
      <c r="F16" s="12">
        <v>63</v>
      </c>
      <c r="G16" s="12">
        <v>40</v>
      </c>
    </row>
    <row r="17" spans="1:7" x14ac:dyDescent="0.3">
      <c r="A17" s="12">
        <v>5</v>
      </c>
      <c r="B17" s="12">
        <v>25</v>
      </c>
      <c r="C17" s="12">
        <v>56</v>
      </c>
      <c r="D17" s="12">
        <v>56</v>
      </c>
      <c r="E17" s="12">
        <v>12</v>
      </c>
      <c r="F17" s="12">
        <v>28</v>
      </c>
      <c r="G17" s="12">
        <v>19</v>
      </c>
    </row>
    <row r="18" spans="1:7" x14ac:dyDescent="0.3">
      <c r="A18" s="12">
        <v>6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topLeftCell="A23" workbookViewId="0">
      <selection activeCell="I28" sqref="I28"/>
    </sheetView>
  </sheetViews>
  <sheetFormatPr defaultRowHeight="14.4" x14ac:dyDescent="0.3"/>
  <cols>
    <col min="1" max="1" width="17" customWidth="1"/>
    <col min="2" max="2" width="23.77734375" customWidth="1"/>
    <col min="3" max="7" width="15.77734375" customWidth="1"/>
  </cols>
  <sheetData>
    <row r="1" spans="1:8" ht="15.6" x14ac:dyDescent="0.3">
      <c r="A1" s="109" t="s">
        <v>488</v>
      </c>
      <c r="B1" s="109"/>
      <c r="C1" s="110" t="s">
        <v>506</v>
      </c>
      <c r="D1" s="110"/>
      <c r="E1" s="110"/>
      <c r="F1" s="110"/>
      <c r="G1" s="110"/>
      <c r="H1" s="111"/>
    </row>
    <row r="2" spans="1:8" x14ac:dyDescent="0.3">
      <c r="A2" s="109"/>
      <c r="B2" s="109"/>
      <c r="C2" s="132" t="s">
        <v>504</v>
      </c>
      <c r="D2" s="132" t="s">
        <v>505</v>
      </c>
      <c r="E2" s="132" t="s">
        <v>502</v>
      </c>
      <c r="F2" s="132" t="s">
        <v>503</v>
      </c>
      <c r="G2" s="133" t="s">
        <v>489</v>
      </c>
      <c r="H2" s="111"/>
    </row>
    <row r="3" spans="1:8" x14ac:dyDescent="0.3">
      <c r="A3" s="112"/>
      <c r="B3" s="112"/>
      <c r="C3" s="134" t="s">
        <v>490</v>
      </c>
      <c r="D3" s="134" t="s">
        <v>490</v>
      </c>
      <c r="E3" s="134" t="s">
        <v>490</v>
      </c>
      <c r="F3" s="134" t="s">
        <v>490</v>
      </c>
      <c r="G3" s="135" t="s">
        <v>490</v>
      </c>
      <c r="H3" s="111"/>
    </row>
    <row r="4" spans="1:8" ht="18.600000000000001" customHeight="1" x14ac:dyDescent="0.3">
      <c r="A4" s="113" t="s">
        <v>491</v>
      </c>
      <c r="B4" s="114" t="s">
        <v>492</v>
      </c>
      <c r="C4" s="136">
        <v>0</v>
      </c>
      <c r="D4" s="123">
        <v>0.66666666666666674</v>
      </c>
      <c r="E4" s="115">
        <v>0.33333333333333337</v>
      </c>
      <c r="F4" s="136">
        <v>0</v>
      </c>
      <c r="G4" s="137">
        <v>0</v>
      </c>
      <c r="H4" s="111"/>
    </row>
    <row r="5" spans="1:8" ht="15.6" customHeight="1" x14ac:dyDescent="0.3">
      <c r="A5" s="116"/>
      <c r="B5" s="117" t="s">
        <v>493</v>
      </c>
      <c r="C5" s="118">
        <v>0.13333333333333333</v>
      </c>
      <c r="D5" s="122">
        <v>0.46666666666666662</v>
      </c>
      <c r="E5" s="118">
        <v>0.2</v>
      </c>
      <c r="F5" s="118">
        <v>0.13333333333333333</v>
      </c>
      <c r="G5" s="127">
        <v>6.6666666666666666E-2</v>
      </c>
      <c r="H5" s="111"/>
    </row>
    <row r="6" spans="1:8" ht="15" x14ac:dyDescent="0.3">
      <c r="A6" s="116"/>
      <c r="B6" s="117" t="s">
        <v>494</v>
      </c>
      <c r="C6" s="118">
        <v>0.20454545454545453</v>
      </c>
      <c r="D6" s="122">
        <v>0.34090909090909094</v>
      </c>
      <c r="E6" s="118">
        <v>0.20454545454545453</v>
      </c>
      <c r="F6" s="118">
        <v>0.22727272727272727</v>
      </c>
      <c r="G6" s="127">
        <v>2.2727272727272728E-2</v>
      </c>
      <c r="H6" s="111"/>
    </row>
    <row r="7" spans="1:8" ht="15" x14ac:dyDescent="0.3">
      <c r="A7" s="116"/>
      <c r="B7" s="117" t="s">
        <v>495</v>
      </c>
      <c r="C7" s="118">
        <v>0.20408163265306123</v>
      </c>
      <c r="D7" s="118">
        <v>0.26530612244897961</v>
      </c>
      <c r="E7" s="128">
        <v>0.10204081632653061</v>
      </c>
      <c r="F7" s="122">
        <v>0.32653061224489799</v>
      </c>
      <c r="G7" s="127">
        <v>0.10204081632653061</v>
      </c>
      <c r="H7" s="111"/>
    </row>
    <row r="8" spans="1:8" ht="17.399999999999999" customHeight="1" x14ac:dyDescent="0.3">
      <c r="A8" s="116"/>
      <c r="B8" s="117" t="s">
        <v>496</v>
      </c>
      <c r="C8" s="128">
        <v>0.12</v>
      </c>
      <c r="D8" s="122">
        <v>0.32</v>
      </c>
      <c r="E8" s="118">
        <v>0.16</v>
      </c>
      <c r="F8" s="118">
        <v>0.28000000000000003</v>
      </c>
      <c r="G8" s="127">
        <v>0.12</v>
      </c>
      <c r="H8" s="111"/>
    </row>
    <row r="9" spans="1:8" ht="18" customHeight="1" x14ac:dyDescent="0.3">
      <c r="A9" s="116" t="s">
        <v>497</v>
      </c>
      <c r="B9" s="117" t="s">
        <v>492</v>
      </c>
      <c r="C9" s="128">
        <v>0</v>
      </c>
      <c r="D9" s="128">
        <v>0</v>
      </c>
      <c r="E9" s="122">
        <v>1</v>
      </c>
      <c r="F9" s="128">
        <v>0</v>
      </c>
      <c r="G9" s="127">
        <v>0</v>
      </c>
      <c r="H9" s="111"/>
    </row>
    <row r="10" spans="1:8" ht="17.399999999999999" customHeight="1" x14ac:dyDescent="0.3">
      <c r="A10" s="116"/>
      <c r="B10" s="117" t="s">
        <v>493</v>
      </c>
      <c r="C10" s="128">
        <v>0.125</v>
      </c>
      <c r="D10" s="122">
        <v>0.375</v>
      </c>
      <c r="E10" s="118">
        <v>0.25</v>
      </c>
      <c r="F10" s="128">
        <v>0.125</v>
      </c>
      <c r="G10" s="127">
        <v>0.125</v>
      </c>
      <c r="H10" s="111"/>
    </row>
    <row r="11" spans="1:8" ht="15" x14ac:dyDescent="0.3">
      <c r="A11" s="116"/>
      <c r="B11" s="117" t="s">
        <v>494</v>
      </c>
      <c r="C11" s="118">
        <v>0.15384615384615385</v>
      </c>
      <c r="D11" s="122">
        <v>0.38461538461538458</v>
      </c>
      <c r="E11" s="128">
        <v>7.6923076923076927E-2</v>
      </c>
      <c r="F11" s="118">
        <v>0.30769230769230771</v>
      </c>
      <c r="G11" s="126">
        <v>7.6923076923076927E-2</v>
      </c>
      <c r="H11" s="111"/>
    </row>
    <row r="12" spans="1:8" ht="15" x14ac:dyDescent="0.3">
      <c r="A12" s="116"/>
      <c r="B12" s="117" t="s">
        <v>495</v>
      </c>
      <c r="C12" s="118">
        <v>0.15517241379310345</v>
      </c>
      <c r="D12" s="122">
        <v>0.25862068965517243</v>
      </c>
      <c r="E12" s="118">
        <v>0.20689655172413793</v>
      </c>
      <c r="F12" s="122">
        <v>0.25862068965517243</v>
      </c>
      <c r="G12" s="127">
        <v>0.12068965517241378</v>
      </c>
      <c r="H12" s="111"/>
    </row>
    <row r="13" spans="1:8" ht="18" customHeight="1" x14ac:dyDescent="0.3">
      <c r="A13" s="116"/>
      <c r="B13" s="117" t="s">
        <v>496</v>
      </c>
      <c r="C13" s="118">
        <v>0.21428571428571427</v>
      </c>
      <c r="D13" s="122">
        <v>0.39285714285714285</v>
      </c>
      <c r="E13" s="118">
        <v>0.10714285714285714</v>
      </c>
      <c r="F13" s="118">
        <v>0.26785714285714285</v>
      </c>
      <c r="G13" s="127">
        <v>1.785714285714286E-2</v>
      </c>
      <c r="H13" s="111"/>
    </row>
    <row r="14" spans="1:8" ht="19.8" customHeight="1" x14ac:dyDescent="0.3">
      <c r="A14" s="116" t="s">
        <v>498</v>
      </c>
      <c r="B14" s="117" t="s">
        <v>492</v>
      </c>
      <c r="C14" s="128">
        <v>0</v>
      </c>
      <c r="D14" s="128">
        <v>0</v>
      </c>
      <c r="E14" s="122">
        <v>1</v>
      </c>
      <c r="F14" s="128">
        <v>0</v>
      </c>
      <c r="G14" s="127">
        <v>0</v>
      </c>
      <c r="H14" s="111"/>
    </row>
    <row r="15" spans="1:8" ht="19.8" customHeight="1" x14ac:dyDescent="0.3">
      <c r="A15" s="116"/>
      <c r="B15" s="117" t="s">
        <v>493</v>
      </c>
      <c r="C15" s="128">
        <v>0</v>
      </c>
      <c r="D15" s="122">
        <v>1</v>
      </c>
      <c r="E15" s="128">
        <v>0</v>
      </c>
      <c r="F15" s="129">
        <v>0</v>
      </c>
      <c r="G15" s="127">
        <v>0</v>
      </c>
      <c r="H15" s="111"/>
    </row>
    <row r="16" spans="1:8" ht="15" x14ac:dyDescent="0.3">
      <c r="A16" s="116"/>
      <c r="B16" s="117" t="s">
        <v>494</v>
      </c>
      <c r="C16" s="122">
        <v>0.45454545454545453</v>
      </c>
      <c r="D16" s="118">
        <v>9.0909090909090912E-2</v>
      </c>
      <c r="E16" s="118">
        <v>9.0909090909090912E-2</v>
      </c>
      <c r="F16" s="129">
        <v>0.36363636363636365</v>
      </c>
      <c r="G16" s="127">
        <v>0</v>
      </c>
      <c r="H16" s="111"/>
    </row>
    <row r="17" spans="1:8" ht="15" x14ac:dyDescent="0.3">
      <c r="A17" s="116"/>
      <c r="B17" s="117" t="s">
        <v>495</v>
      </c>
      <c r="C17" s="118">
        <v>0.12676056338028169</v>
      </c>
      <c r="D17" s="122">
        <v>0.36619718309859151</v>
      </c>
      <c r="E17" s="118">
        <v>0.16901408450704225</v>
      </c>
      <c r="F17" s="118">
        <v>0.23943661971830985</v>
      </c>
      <c r="G17" s="126">
        <v>9.8591549295774641E-2</v>
      </c>
      <c r="H17" s="111"/>
    </row>
    <row r="18" spans="1:8" ht="18.600000000000001" customHeight="1" x14ac:dyDescent="0.3">
      <c r="A18" s="116"/>
      <c r="B18" s="117" t="s">
        <v>496</v>
      </c>
      <c r="C18" s="118">
        <v>0.19230769230769229</v>
      </c>
      <c r="D18" s="122">
        <v>0.32692307692307693</v>
      </c>
      <c r="E18" s="118">
        <v>0.15384615384615385</v>
      </c>
      <c r="F18" s="118">
        <v>0.26923076923076922</v>
      </c>
      <c r="G18" s="126">
        <v>5.7692307692307689E-2</v>
      </c>
      <c r="H18" s="111"/>
    </row>
    <row r="19" spans="1:8" ht="20.399999999999999" customHeight="1" x14ac:dyDescent="0.3">
      <c r="A19" s="116" t="s">
        <v>499</v>
      </c>
      <c r="B19" s="117" t="s">
        <v>492</v>
      </c>
      <c r="C19" s="128">
        <v>0</v>
      </c>
      <c r="D19" s="118">
        <v>0.25</v>
      </c>
      <c r="E19" s="122">
        <v>0.5</v>
      </c>
      <c r="F19" s="118">
        <v>0.25</v>
      </c>
      <c r="G19" s="127">
        <v>0</v>
      </c>
      <c r="H19" s="111"/>
    </row>
    <row r="20" spans="1:8" ht="19.8" customHeight="1" x14ac:dyDescent="0.3">
      <c r="A20" s="116"/>
      <c r="B20" s="117" t="s">
        <v>493</v>
      </c>
      <c r="C20" s="118">
        <v>0.10714285714285714</v>
      </c>
      <c r="D20" s="122">
        <v>0.4642857142857143</v>
      </c>
      <c r="E20" s="118">
        <v>0.14285714285714288</v>
      </c>
      <c r="F20" s="118">
        <v>0.21428571428571427</v>
      </c>
      <c r="G20" s="127">
        <v>7.1428571428571438E-2</v>
      </c>
      <c r="H20" s="111"/>
    </row>
    <row r="21" spans="1:8" ht="15" x14ac:dyDescent="0.3">
      <c r="A21" s="116"/>
      <c r="B21" s="117" t="s">
        <v>494</v>
      </c>
      <c r="C21" s="118">
        <v>0.23636363636363636</v>
      </c>
      <c r="D21" s="122">
        <v>0.36363636363636365</v>
      </c>
      <c r="E21" s="118">
        <v>0.10909090909090909</v>
      </c>
      <c r="F21" s="118">
        <v>0.25454545454545452</v>
      </c>
      <c r="G21" s="127">
        <v>3.6363636363636362E-2</v>
      </c>
      <c r="H21" s="111"/>
    </row>
    <row r="22" spans="1:8" ht="15" x14ac:dyDescent="0.3">
      <c r="A22" s="116"/>
      <c r="B22" s="117" t="s">
        <v>495</v>
      </c>
      <c r="C22" s="118">
        <v>0.1891891891891892</v>
      </c>
      <c r="D22" s="118">
        <v>0.2162162162162162</v>
      </c>
      <c r="E22" s="118">
        <v>0.2162162162162162</v>
      </c>
      <c r="F22" s="122">
        <v>0.29729729729729731</v>
      </c>
      <c r="G22" s="127">
        <v>8.1081081081081086E-2</v>
      </c>
      <c r="H22" s="111"/>
    </row>
    <row r="23" spans="1:8" ht="18" customHeight="1" x14ac:dyDescent="0.3">
      <c r="A23" s="116"/>
      <c r="B23" s="117" t="s">
        <v>496</v>
      </c>
      <c r="C23" s="138">
        <v>8.3333333333333343E-2</v>
      </c>
      <c r="D23" s="122">
        <v>0.25</v>
      </c>
      <c r="E23" s="129">
        <v>0.16666666666666669</v>
      </c>
      <c r="F23" s="122">
        <v>0.25</v>
      </c>
      <c r="G23" s="124">
        <v>0.25</v>
      </c>
      <c r="H23" s="111"/>
    </row>
    <row r="24" spans="1:8" ht="17.399999999999999" customHeight="1" x14ac:dyDescent="0.3">
      <c r="A24" s="116" t="s">
        <v>500</v>
      </c>
      <c r="B24" s="117" t="s">
        <v>492</v>
      </c>
      <c r="C24" s="122">
        <v>0</v>
      </c>
      <c r="D24" s="122">
        <v>0</v>
      </c>
      <c r="E24" s="122">
        <v>0</v>
      </c>
      <c r="F24" s="122">
        <v>0</v>
      </c>
      <c r="G24" s="124">
        <v>0</v>
      </c>
      <c r="H24" s="111"/>
    </row>
    <row r="25" spans="1:8" ht="19.8" customHeight="1" x14ac:dyDescent="0.3">
      <c r="A25" s="116"/>
      <c r="B25" s="117" t="s">
        <v>493</v>
      </c>
      <c r="C25" s="128">
        <v>5.8823529411764712E-2</v>
      </c>
      <c r="D25" s="122">
        <v>0.35294117647058826</v>
      </c>
      <c r="E25" s="118">
        <v>0.23529411764705885</v>
      </c>
      <c r="F25" s="118">
        <v>0.29411764705882354</v>
      </c>
      <c r="G25" s="126">
        <v>5.8823529411764712E-2</v>
      </c>
      <c r="H25" s="111"/>
    </row>
    <row r="26" spans="1:8" ht="15" x14ac:dyDescent="0.3">
      <c r="A26" s="116"/>
      <c r="B26" s="117" t="s">
        <v>494</v>
      </c>
      <c r="C26" s="118">
        <v>0.17857142857142858</v>
      </c>
      <c r="D26" s="122">
        <v>0.32142857142857145</v>
      </c>
      <c r="E26" s="118">
        <v>0.21428571428571427</v>
      </c>
      <c r="F26" s="118">
        <v>0.28571428571428575</v>
      </c>
      <c r="G26" s="127">
        <v>0</v>
      </c>
      <c r="H26" s="111"/>
    </row>
    <row r="27" spans="1:8" ht="15" x14ac:dyDescent="0.3">
      <c r="A27" s="116"/>
      <c r="B27" s="117" t="s">
        <v>495</v>
      </c>
      <c r="C27" s="118">
        <v>0.17460317460317459</v>
      </c>
      <c r="D27" s="122">
        <v>0.34920634920634919</v>
      </c>
      <c r="E27" s="118">
        <v>0.1111111111111111</v>
      </c>
      <c r="F27" s="118">
        <v>0.26984126984126983</v>
      </c>
      <c r="G27" s="127">
        <v>9.5238095238095233E-2</v>
      </c>
      <c r="H27" s="111"/>
    </row>
    <row r="28" spans="1:8" ht="18" customHeight="1" x14ac:dyDescent="0.3">
      <c r="A28" s="116"/>
      <c r="B28" s="117" t="s">
        <v>496</v>
      </c>
      <c r="C28" s="118">
        <v>0.25</v>
      </c>
      <c r="D28" s="122">
        <v>0.28571428571428575</v>
      </c>
      <c r="E28" s="118">
        <v>0.17857142857142858</v>
      </c>
      <c r="F28" s="118">
        <v>0.17857142857142858</v>
      </c>
      <c r="G28" s="127">
        <v>0.10714285714285714</v>
      </c>
      <c r="H28" s="111"/>
    </row>
    <row r="29" spans="1:8" ht="18" customHeight="1" x14ac:dyDescent="0.3">
      <c r="A29" s="116" t="s">
        <v>501</v>
      </c>
      <c r="B29" s="117" t="s">
        <v>492</v>
      </c>
      <c r="C29" s="128">
        <v>0</v>
      </c>
      <c r="D29" s="118">
        <v>0.4</v>
      </c>
      <c r="E29" s="128">
        <v>0</v>
      </c>
      <c r="F29" s="122">
        <v>0.6</v>
      </c>
      <c r="G29" s="127">
        <v>0</v>
      </c>
      <c r="H29" s="111"/>
    </row>
    <row r="30" spans="1:8" ht="20.399999999999999" customHeight="1" x14ac:dyDescent="0.3">
      <c r="A30" s="116"/>
      <c r="B30" s="117" t="s">
        <v>493</v>
      </c>
      <c r="C30" s="118">
        <v>0.17241379310344829</v>
      </c>
      <c r="D30" s="122">
        <v>0.34482758620689657</v>
      </c>
      <c r="E30" s="118">
        <v>0.20689655172413793</v>
      </c>
      <c r="F30" s="118">
        <v>0.24137931034482757</v>
      </c>
      <c r="G30" s="127">
        <v>3.4482758620689655E-2</v>
      </c>
      <c r="H30" s="111"/>
    </row>
    <row r="31" spans="1:8" ht="15" x14ac:dyDescent="0.3">
      <c r="A31" s="116"/>
      <c r="B31" s="117" t="s">
        <v>494</v>
      </c>
      <c r="C31" s="118">
        <v>0.13953488372093023</v>
      </c>
      <c r="D31" s="122">
        <v>0.37209302325581395</v>
      </c>
      <c r="E31" s="118">
        <v>0.18604651162790697</v>
      </c>
      <c r="F31" s="118">
        <v>0.23255813953488372</v>
      </c>
      <c r="G31" s="127">
        <v>6.9767441860465115E-2</v>
      </c>
      <c r="H31" s="111"/>
    </row>
    <row r="32" spans="1:8" ht="15" x14ac:dyDescent="0.3">
      <c r="A32" s="116"/>
      <c r="B32" s="117" t="s">
        <v>495</v>
      </c>
      <c r="C32" s="122">
        <v>0.25</v>
      </c>
      <c r="D32" s="118">
        <v>0.22500000000000001</v>
      </c>
      <c r="E32" s="118">
        <v>0.15</v>
      </c>
      <c r="F32" s="122">
        <v>0.27500000000000002</v>
      </c>
      <c r="G32" s="127">
        <v>0.1</v>
      </c>
      <c r="H32" s="111"/>
    </row>
    <row r="33" spans="1:8" ht="19.2" customHeight="1" x14ac:dyDescent="0.3">
      <c r="A33" s="119"/>
      <c r="B33" s="120" t="s">
        <v>496</v>
      </c>
      <c r="C33" s="121">
        <v>0.15789473684210525</v>
      </c>
      <c r="D33" s="125">
        <v>0.4210526315789474</v>
      </c>
      <c r="E33" s="130">
        <v>0.10526315789473685</v>
      </c>
      <c r="F33" s="121">
        <v>0.2105263157894737</v>
      </c>
      <c r="G33" s="131">
        <v>0.10526315789473685</v>
      </c>
      <c r="H33" s="111"/>
    </row>
  </sheetData>
  <mergeCells count="8">
    <mergeCell ref="C1:G1"/>
    <mergeCell ref="A4:A8"/>
    <mergeCell ref="A9:A13"/>
    <mergeCell ref="A14:A18"/>
    <mergeCell ref="A19:A23"/>
    <mergeCell ref="A24:A28"/>
    <mergeCell ref="A29:A33"/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13</vt:i4>
      </vt:variant>
    </vt:vector>
  </HeadingPairs>
  <TitlesOfParts>
    <vt:vector size="29" baseType="lpstr">
      <vt:lpstr>Variables</vt:lpstr>
      <vt:lpstr>Data View</vt:lpstr>
      <vt:lpstr>Emot_Satis_Tallies Plots</vt:lpstr>
      <vt:lpstr>Overall Satisf_Desc Stats</vt:lpstr>
      <vt:lpstr>Age vs Overall SatisXX</vt:lpstr>
      <vt:lpstr>Age vs Overall (2)</vt:lpstr>
      <vt:lpstr>Age Satis PivotTab</vt:lpstr>
      <vt:lpstr>Gender vs Overall Satis</vt:lpstr>
      <vt:lpstr>Age vs SelfAwareXXX</vt:lpstr>
      <vt:lpstr>Pos vs Overall Satis</vt:lpstr>
      <vt:lpstr>Educ vs Overall Satis</vt:lpstr>
      <vt:lpstr>JobLev vs Satis</vt:lpstr>
      <vt:lpstr>References</vt:lpstr>
      <vt:lpstr>Anal Cals</vt:lpstr>
      <vt:lpstr>Emot_Satisf_Gender</vt:lpstr>
      <vt:lpstr>Sheet1</vt:lpstr>
      <vt:lpstr>Age</vt:lpstr>
      <vt:lpstr>Educ</vt:lpstr>
      <vt:lpstr>Exper</vt:lpstr>
      <vt:lpstr>Gend</vt:lpstr>
      <vt:lpstr>Job_Lvl</vt:lpstr>
      <vt:lpstr>Pos</vt:lpstr>
      <vt:lpstr>'Age vs Overall SatisXX'!Print_Area</vt:lpstr>
      <vt:lpstr>Satis_1</vt:lpstr>
      <vt:lpstr>Satis_2</vt:lpstr>
      <vt:lpstr>Satis_3</vt:lpstr>
      <vt:lpstr>Satis_4</vt:lpstr>
      <vt:lpstr>Satis_5</vt:lpstr>
      <vt:lpstr>Satis_6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Helena Rolle</cp:lastModifiedBy>
  <cp:lastPrinted>2023-10-10T16:40:28Z</cp:lastPrinted>
  <dcterms:created xsi:type="dcterms:W3CDTF">2023-08-28T02:15:14Z</dcterms:created>
  <dcterms:modified xsi:type="dcterms:W3CDTF">2023-10-22T22:49:10Z</dcterms:modified>
</cp:coreProperties>
</file>